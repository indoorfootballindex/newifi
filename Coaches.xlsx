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easons" sheetId="1" r:id="rId5"/>
    <sheet state="visible" name="Coaches" sheetId="2" r:id="rId6"/>
  </sheets>
  <definedNames/>
  <calcPr/>
</workbook>
</file>

<file path=xl/sharedStrings.xml><?xml version="1.0" encoding="utf-8"?>
<sst xmlns="http://schemas.openxmlformats.org/spreadsheetml/2006/main" count="740" uniqueCount="207">
  <si>
    <t>Name</t>
  </si>
  <si>
    <t>Active</t>
  </si>
  <si>
    <t>Reg Wins</t>
  </si>
  <si>
    <t>Reg Loss</t>
  </si>
  <si>
    <t>Post Win</t>
  </si>
  <si>
    <t>Year</t>
  </si>
  <si>
    <t>Post Loss</t>
  </si>
  <si>
    <t>Team</t>
  </si>
  <si>
    <t>Total</t>
  </si>
  <si>
    <t>Team History</t>
  </si>
  <si>
    <t>Picture</t>
  </si>
  <si>
    <t>Bio</t>
  </si>
  <si>
    <t>Rodney Blackshear</t>
  </si>
  <si>
    <t>Darren Arbet</t>
  </si>
  <si>
    <t>No</t>
  </si>
  <si>
    <t>Abilene</t>
  </si>
  <si>
    <t>Brian Brents</t>
  </si>
  <si>
    <t>El Paso</t>
  </si>
  <si>
    <t>Kenton Carr</t>
  </si>
  <si>
    <t>Bloomington</t>
  </si>
  <si>
    <t>Sonny Cumbie</t>
  </si>
  <si>
    <t>San Angelo</t>
  </si>
  <si>
    <t>Jarrod DeGeorgia</t>
  </si>
  <si>
    <t>Sioux City</t>
  </si>
  <si>
    <t>Gerald Dockery</t>
  </si>
  <si>
    <t>Karl Featherstone</t>
  </si>
  <si>
    <t>Saginaw</t>
  </si>
  <si>
    <t>Steven Filmore</t>
  </si>
  <si>
    <t>Corpus Christi</t>
  </si>
  <si>
    <t>Floyd Johnson</t>
  </si>
  <si>
    <t>Alaska</t>
  </si>
  <si>
    <t>James Kerwin</t>
  </si>
  <si>
    <t>Omaha</t>
  </si>
  <si>
    <t>Eddie Long</t>
  </si>
  <si>
    <t>Rochester</t>
  </si>
  <si>
    <t>Jason Lovelock</t>
  </si>
  <si>
    <t>Ken Matous</t>
  </si>
  <si>
    <t>Wichita</t>
  </si>
  <si>
    <t>Heron O'Neal</t>
  </si>
  <si>
    <t>Billings</t>
  </si>
  <si>
    <t>Anthony Parker</t>
  </si>
  <si>
    <t>Muskegon</t>
  </si>
  <si>
    <t>Patrick Pimmel</t>
  </si>
  <si>
    <t>River City</t>
  </si>
  <si>
    <t>Sean Ponder</t>
  </si>
  <si>
    <t>Fairbanks</t>
  </si>
  <si>
    <t>Rik Richards</t>
  </si>
  <si>
    <t>Kurtiss Riggs</t>
  </si>
  <si>
    <t>Sioux Falls</t>
  </si>
  <si>
    <t>Sonny Rodriguez</t>
  </si>
  <si>
    <t>Collins Sanders</t>
  </si>
  <si>
    <t>Colorado</t>
  </si>
  <si>
    <t>Matt Steeple</t>
  </si>
  <si>
    <t>Maryland</t>
  </si>
  <si>
    <t>Brent White</t>
  </si>
  <si>
    <t>Chris Williams</t>
  </si>
  <si>
    <t>Odessa</t>
  </si>
  <si>
    <t>Danton Barto</t>
  </si>
  <si>
    <t>Arkansas</t>
  </si>
  <si>
    <t>https://i.imgur.com/e8tQd64.png</t>
  </si>
  <si>
    <t>Gilbert Brown</t>
  </si>
  <si>
    <t>La Crosse</t>
  </si>
  <si>
    <t>Steve Criswell</t>
  </si>
  <si>
    <t>Richmond</t>
  </si>
  <si>
    <t>Darryl D'Ateno</t>
  </si>
  <si>
    <t>Clint Dolezel</t>
  </si>
  <si>
    <t>Chris Duliban</t>
  </si>
  <si>
    <t>Austin</t>
  </si>
  <si>
    <t>Keith Evans</t>
  </si>
  <si>
    <t>Kent</t>
  </si>
  <si>
    <t xml:space="preserve">Darren Arbet was the head coach for the Bay Area Pathers in 2023. He would leave Bay Area with 10 games remaining in the season. He coached 5 games for a 3-2 record. </t>
  </si>
  <si>
    <t>Billy Back</t>
  </si>
  <si>
    <t>Tucson</t>
  </si>
  <si>
    <t>Terry Foster</t>
  </si>
  <si>
    <t>W. Michigan</t>
  </si>
  <si>
    <t>Darnell Lee</t>
  </si>
  <si>
    <t>John Lyles</t>
  </si>
  <si>
    <t>Amarillo</t>
  </si>
  <si>
    <t>William McCarthy</t>
  </si>
  <si>
    <t>Steve McMichael</t>
  </si>
  <si>
    <t>Chicago</t>
  </si>
  <si>
    <t>Green Bay</t>
  </si>
  <si>
    <t>https://i.imgur.com/QRixsdl.png</t>
  </si>
  <si>
    <t>Ted Schmitz</t>
  </si>
  <si>
    <t>Adam Shackleford</t>
  </si>
  <si>
    <t>Tri-Cities</t>
  </si>
  <si>
    <t>Tommie Williams</t>
  </si>
  <si>
    <t>W. Texas</t>
  </si>
  <si>
    <t>Billy Back has been coaching indoor football since 2013 with the Texas Revolution. He's coached for Texas, Wichita Falls, Spokane, Frisco, and currently Tucson. Back would have the most success with Frisco, taking them to a 27-6 record between 2022 and 2023. They would win in the first round of both year's playoffs, but would lose in the following games. Back currently coaches for Tucson, returning for his 2nd season with them. He has a combined record of 63-46.</t>
  </si>
  <si>
    <t>Chad Baldwin</t>
  </si>
  <si>
    <t>Richard Britt</t>
  </si>
  <si>
    <t>Lehigh Valley</t>
  </si>
  <si>
    <t>Mike Davis</t>
  </si>
  <si>
    <t>Nebraska</t>
  </si>
  <si>
    <t>Robert Fuller</t>
  </si>
  <si>
    <t>Tony Hawkins</t>
  </si>
  <si>
    <t>Morris Lolar</t>
  </si>
  <si>
    <t>Dan Maciejczak</t>
  </si>
  <si>
    <t>Wyoming</t>
  </si>
  <si>
    <t>Chris MacKeown</t>
  </si>
  <si>
    <t>Allen</t>
  </si>
  <si>
    <t>Bricktown</t>
  </si>
  <si>
    <t>Andrew Moore</t>
  </si>
  <si>
    <t>Arizona</t>
  </si>
  <si>
    <t>https://i.imgur.com/bVEGoGk.png</t>
  </si>
  <si>
    <t>Kyle Moore-Brown</t>
  </si>
  <si>
    <t>Mike Murray</t>
  </si>
  <si>
    <t>Seattle</t>
  </si>
  <si>
    <t>Chad Baldwin coached the Green Bay Blizzard during the 2013 and 2014 seasons. In 2013 he took over midseason and finished 3-5. In 2014 he coached 6 games, all losses, and was fired. He combined for a record of 3-11.</t>
  </si>
  <si>
    <t>Brian Smith</t>
  </si>
  <si>
    <t>Wenatchee Valley</t>
  </si>
  <si>
    <t>Chris Thompson</t>
  </si>
  <si>
    <t>Reading</t>
  </si>
  <si>
    <t>Andy Yost</t>
  </si>
  <si>
    <t>Quinn Cairo</t>
  </si>
  <si>
    <t>https://i.imgur.com/S957CHn.png</t>
  </si>
  <si>
    <t>Bruce Cowdrey</t>
  </si>
  <si>
    <t>Danton Barto coached the Arkansas Diamonds in 2010. He led them to 1st place in the Lonestar East and would make it to the confrence championship. They would lose 53-42 againist the Billings Outlaws. That season Arkansas would go 11-3 in the regular seaosn and 2-1 in the post season. Barto would finish coaching with a 13-4 record.</t>
  </si>
  <si>
    <t>David Beezer</t>
  </si>
  <si>
    <t>Cedar Rapids</t>
  </si>
  <si>
    <t>https://i.imgur.com/495lSLx.png</t>
  </si>
  <si>
    <t>Everett</t>
  </si>
  <si>
    <t>David Beezer coached the San Diego Strike Force in 2022. They would go 3-13 and miss the playoffs. Beezer was not resigned for the following season and hasn't coached in the IFL since.</t>
  </si>
  <si>
    <t>Mark Steinmeyer</t>
  </si>
  <si>
    <t>New Mexico</t>
  </si>
  <si>
    <t>Dixie Wooten</t>
  </si>
  <si>
    <t>Texas</t>
  </si>
  <si>
    <t>Ryan Lingenfelder</t>
  </si>
  <si>
    <t>https://i.imgur.com/RawtiNq.jpeg</t>
  </si>
  <si>
    <t>Mark Stoute</t>
  </si>
  <si>
    <t xml:space="preserve">Rodney Blackshear coached the Abilene Ruff Riders from 2009-2010, and the Amarillo Venom in 2011. In 2009 he came into Abiliene midseason and took the 0-5 team to the playoffs with an 8-1 record under him. Unfortunately they'd lose to the San Angelo Stampede Express 37-34. Blackshear retruned for the 2010 season but didn't find the same success, taking the team to a 2-12 record. He would take a job with the Amarillo Venom in 2011 and finished 4-10. His combined coaching record sits at 14-24. </t>
  </si>
  <si>
    <t>Dominic Bramante</t>
  </si>
  <si>
    <t>Bemidji</t>
  </si>
  <si>
    <t>Joe Brannen</t>
  </si>
  <si>
    <t>Iowa</t>
  </si>
  <si>
    <t>Chris Dixon</t>
  </si>
  <si>
    <t>https://i.imgur.com/EMR87zy.png</t>
  </si>
  <si>
    <t>Wichita Falls</t>
  </si>
  <si>
    <t>Lee Patten</t>
  </si>
  <si>
    <t>Dominic Bramante was the head coach for the Northern Arizona Wranglers. He would start with the Duke City Gladiators from 2015-2019, winning Coach of the Year in 2018 and leading them to 2 championships. He then would transition to the IFL joining NAZ for their 2021 season. He would coach 7 out of 10 games for them with a 1-6 record, missing 3 due to COVID protocols. He was dismissed with 4 games remaining. He was brought back to Duke CIty as an co-head coach. His IFL record sits at 1-6.</t>
  </si>
  <si>
    <t>Spokane</t>
  </si>
  <si>
    <t>https://i.imgur.com/2SpXRC9.png</t>
  </si>
  <si>
    <t>Hurtis Chinn</t>
  </si>
  <si>
    <t>Kevin Guy</t>
  </si>
  <si>
    <t>Jose Jefferson</t>
  </si>
  <si>
    <t>Marvin Jones</t>
  </si>
  <si>
    <t>Joe Brannen coached for the Iowa Barnstormers from 2015-2016. In 2015 he led Iowa to a 6-8 record and was resigned for the following season. 2016 he took Iowa to a 4-12 record and was not resigned. His record sits at 10-20.</t>
  </si>
  <si>
    <t>Salt Lake</t>
  </si>
  <si>
    <t>Marvin McNutt</t>
  </si>
  <si>
    <t>Matt Sauk</t>
  </si>
  <si>
    <t>Pig Brown</t>
  </si>
  <si>
    <t>Marcus Coleman</t>
  </si>
  <si>
    <t>Burt Grossman</t>
  </si>
  <si>
    <t>San Diego</t>
  </si>
  <si>
    <t>Rod Miller</t>
  </si>
  <si>
    <t>Bismarck</t>
  </si>
  <si>
    <t>https://i.imgur.com/giBx6w0.jpeg</t>
  </si>
  <si>
    <t>Corey Roberson</t>
  </si>
  <si>
    <t>Corey Ross</t>
  </si>
  <si>
    <t>Quad Cities</t>
  </si>
  <si>
    <t>Brian Brents coached the El Paos Generals during their first and only season in 2009. He finished the season 12-2, top of the Lone Star divison, and earning them a first round bye. He then won their first playoff game againist the San Angelo Stampede Express. blowing them out 75-37. They would go on to lose againist the Billings Outlaws, 66-35. Billings would go onto win the championship. El Paso would end up folding and Brents did not resume coaching in the IFL. His record sits at 13-3.</t>
  </si>
  <si>
    <t>Victor Mann</t>
  </si>
  <si>
    <t>Northern Arizona</t>
  </si>
  <si>
    <t>Landrick Brody</t>
  </si>
  <si>
    <t>Frisco</t>
  </si>
  <si>
    <t>Robert Kent Jr.</t>
  </si>
  <si>
    <t>Duke City</t>
  </si>
  <si>
    <t>Richard Britt was the head coach of the Lehigh Valley Steelhawks during the 2011 season. He led the team to a 4-10 record and was fired after the 2011 season.</t>
  </si>
  <si>
    <t>Les Moss</t>
  </si>
  <si>
    <t>Patrick Pass</t>
  </si>
  <si>
    <t>Massachusetts</t>
  </si>
  <si>
    <t>Louisville</t>
  </si>
  <si>
    <t>Martino Theus</t>
  </si>
  <si>
    <t>Kurt Bryan</t>
  </si>
  <si>
    <t>Bay Area</t>
  </si>
  <si>
    <t xml:space="preserve">Landrick Brody was the OC of the Northern Arizona Wranglers. He took over as interim head coach for 7 games during the 2021 season, due to HC Dominic Bramante missing 3 games due to COVID, and who was fired with 4 games remaining. Brody lost all 7 of those games and was let go after the 2021 season. Brody also played for the Duke City Gladiators, and coached for them during their 2018 and 2019 championships before joining the IFL. </t>
  </si>
  <si>
    <t>Sherman Carter</t>
  </si>
  <si>
    <t>Vegas</t>
  </si>
  <si>
    <t>Fred Griggs</t>
  </si>
  <si>
    <t>Rayshaun Kizer</t>
  </si>
  <si>
    <t>Dave Mogensen</t>
  </si>
  <si>
    <t>Gilbert Brown, former Green Bay Packer, coached for the La Crosse Spartans during the 2010 and 2011 seasons. In his debut season, Brown led the team to a 3-11 record. He returned for the 2011 season, starting 2-2. After those 4 games, Breown announced that he would take a leave of absence. He never returned. He would go on to Coach indoor football again, coaching for the Lingerie Football League for the Green Bay Chili from 2011 to 2014</t>
  </si>
  <si>
    <t>Andre Coles</t>
  </si>
  <si>
    <t>Taylor Genuser</t>
  </si>
  <si>
    <t>Tulsa</t>
  </si>
  <si>
    <t>Rob Keefe</t>
  </si>
  <si>
    <t>Pig Brown, star LB for the Nebraska Danger, turned to coach after his 6-year run in the IFL. He took over as Coach to the Danger in 2019. Brown led Nebraska to a 7-7 record and a win against the Blizzard in the first round of playoffs. After 2019 he decided to take his talents to Duke City for the 2020 season. Unfortunately due to COVID, he didn't get the chance. Brown would not return for the 2021 season and has not returned to coaching.</t>
  </si>
  <si>
    <t>Andre Fields</t>
  </si>
  <si>
    <t>Jason Gibson</t>
  </si>
  <si>
    <t>Jacksonville</t>
  </si>
  <si>
    <t>Kurt Bryan was named the first head coach of the then-Oakland Pathers in 2019. After the COVID pandemic, he got his shot for the 2022 season. Bryan coached the Bay Area Panthers to a 1-15 record. He did not return for the 2023 season.</t>
  </si>
  <si>
    <t>Kerry Locklin</t>
  </si>
  <si>
    <t>Tom Menas</t>
  </si>
  <si>
    <t>San Antonio</t>
  </si>
  <si>
    <t>Ron James</t>
  </si>
  <si>
    <t>Quinn Cairo was the interim head coach of the Allen Wranglers in 2012. He would go 4-2, but would not take up a head coaching job anywhere else.</t>
  </si>
  <si>
    <t>Ameer Ismail</t>
  </si>
  <si>
    <t>Fishers</t>
  </si>
  <si>
    <t>Kenton Carr was the head coach for the Bloomington Extreme/Edge. He was the head coach for the Extreme from 2008-2010 and returned in 2012. After taking the 2008 Edge to the championship game, his 2009 season was less successful. Finishing 10-4, the Edge lost in the first round of playoffs. Carr would come back for the 2010 season but be fired after a 3-5 start. Carr would be hired back in 2012, where he would take the Extreme to another 10-4 season with another first-round playoff loss. Carr would part ways with the team after the 2012 season.</t>
  </si>
  <si>
    <t>Sherman Carter was the head coach of the Duke City Gladiators in 2022. He would go 8-8 but step down due to time restraints in another job.</t>
  </si>
  <si>
    <t xml:space="preserve">Mike Davis is the current head coach of the Vegas Knight Hawks. After a 6 year run with the Nebraska Danger, he took a break til 2022 when he joined Vegas. He has coached over 140 games in the IFL, with 9 of those in the playoffs. No championships to his name but had one of his best seasons in 2024 taking Vegas to a 11-5 record. </t>
  </si>
  <si>
    <t>Taylor Genuser has been the head coach for the San Diego Strike Force since 2023. With a combined 16-15 record along with a playoff appearance he goes into his 3rd year after his best season in 2024.</t>
  </si>
  <si>
    <t>Jason Gibson is the head coach of the Jacksonville Sharks. After taking the Sharks to a championship in the NAL, he started his IFL career going 5-11. Gibson has been coaching indoor football for 23 years, in multiple leagues. His longest run was with the Columbus Lions going 131-73. After 5years with the Lions in the NAL, he took his talents to Jacksonville in 2023, winning a championship. Now he sets his sights on a 2nd year in the IFL.</t>
  </si>
  <si>
    <t>Kevin Guy is the current head coach of the Arizona Rattlers since 2008, leading the team to multiple championships in the Arena Football League (AFL) and Indoor Football League (IFL). Guy also has the most wins in IFL and indoor football history. Guy is also a co-owner of the Tucson Sugar Skulls, contributing to the growth of indoor football in Arizona.</t>
  </si>
  <si>
    <t>Ron James is the head coach of the Northern Arizona Wranglers. James is a seasoned American football coach with a career spanning multiple leagues, including the Arena Football League (AFL) and now moves to the Indoor Football League (IFL). Known for his leadership and strategic expertise, James has served as head coach for several teams, including the Utah Blaze, Pittsburgh Power, and Tampa Bay Storm. With a commitment to excellence, James hopes to show off his talents for Northern Arizona.</t>
  </si>
  <si>
    <t>Marvin Jones is the head coach for the Tulsa Oilers. He started in 2017 with the Colorado Crush taking over mid-season and going 1-7. He then moved to the Cedar Rapids Titans in 2018. They went 3-11 and missed playoffs. After a 5 year break, he rejoined the league for the Tulsa Oilers. His first season was a trainwreck, going 2-13. Jones would return for 2024 and they would improve to a 6-10 record. Now Jones leads the team for a 3rd straight year, hoping to improve even more.</t>
  </si>
  <si>
    <t>Rob Keefe is the current head coach for the Bay Area Panthers. He took over midseason in 2023 taking the team 7-3 and 3 playoff wins including winning the championship. Keefe would return in 2024 and led them to a 13-3 record, best in the West. They would lose the first round of playoffs. He now returns for his 3rd year for Bay Area. Keefe previously played in multiple indoor leagues, winning ArenaBowl championships with the Spokane Shock and Philadelphia Soul. Transitioning to coaching, he quickly made his mark, guiding the Spokane Shock to an ArenaBowl title in his first season as head coach in 2010. Keefe has also coached other prominent teams, including the Albany Empire, leading them to back-to-back ArenaBowl championships in 2019 and 2021.</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</si>
</sst>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color theme="1"/>
      <name val="Arial"/>
      <scheme val="minor"/>
    </font>
    <font>
      <u/>
      <color rgb="FF0000FF"/>
    </font>
    <font>
      <u/>
      <color rgb="FF0000FF"/>
    </font>
    <font>
      <color theme="1"/>
      <name val="Arial"/>
    </font>
  </fonts>
  <fills count="2">
    <fill>
      <patternFill patternType="none"/>
    </fill>
    <fill>
      <patternFill patternType="lightGray"/>
    </fill>
  </fills>
  <borders count="1">
    <border/>
  </borders>
  <cellStyleXfs count="1">
    <xf borderId="0" fillId="0" fontId="0" numFmtId="0" applyAlignment="1" applyFont="1"/>
  </cellStyleXfs>
  <cellXfs count="8">
    <xf borderId="0" fillId="0" fontId="0" numFmtId="0" xfId="0" applyAlignment="1" applyFont="1">
      <alignment readingOrder="0" shrinkToFit="0" vertical="bottom" wrapText="0"/>
    </xf>
    <xf borderId="0" fillId="0" fontId="1" numFmtId="0" xfId="0" applyAlignment="1" applyFont="1">
      <alignment horizontal="center" readingOrder="0"/>
    </xf>
    <xf borderId="0" fillId="0" fontId="1" numFmtId="0" xfId="0" applyAlignment="1" applyFont="1">
      <alignment horizontal="center" readingOrder="0" shrinkToFit="0" wrapText="0"/>
    </xf>
    <xf borderId="0" fillId="0" fontId="2" numFmtId="0" xfId="0" applyAlignment="1" applyFont="1">
      <alignment horizontal="center" readingOrder="0"/>
    </xf>
    <xf borderId="0" fillId="0" fontId="3" numFmtId="0" xfId="0" applyAlignment="1" applyFont="1">
      <alignment horizontal="center" readingOrder="0"/>
    </xf>
    <xf borderId="0" fillId="0" fontId="4" numFmtId="0" xfId="0" applyAlignment="1" applyFont="1">
      <alignment horizontal="center" vertical="bottom"/>
    </xf>
    <xf borderId="0" fillId="0" fontId="4" numFmtId="0" xfId="0" applyAlignment="1" applyFont="1">
      <alignment horizontal="center" vertical="bottom"/>
    </xf>
    <xf borderId="0" fillId="0" fontId="1" numFmtId="0" xfId="0" applyAlignment="1" applyFont="1">
      <alignmen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i.imgur.com/e8tQd64.png" TargetMode="External"/><Relationship Id="rId2" Type="http://schemas.openxmlformats.org/officeDocument/2006/relationships/hyperlink" Target="https://i.imgur.com/QRixsdl.png" TargetMode="External"/><Relationship Id="rId3" Type="http://schemas.openxmlformats.org/officeDocument/2006/relationships/hyperlink" Target="https://i.imgur.com/bVEGoGk.png" TargetMode="External"/><Relationship Id="rId4" Type="http://schemas.openxmlformats.org/officeDocument/2006/relationships/hyperlink" Target="https://i.imgur.com/S957CHn.png" TargetMode="External"/><Relationship Id="rId10" Type="http://schemas.openxmlformats.org/officeDocument/2006/relationships/drawing" Target="../drawings/drawing2.xml"/><Relationship Id="rId9" Type="http://schemas.openxmlformats.org/officeDocument/2006/relationships/hyperlink" Target="https://i.imgur.com/giBx6w0.jpeg" TargetMode="External"/><Relationship Id="rId5" Type="http://schemas.openxmlformats.org/officeDocument/2006/relationships/hyperlink" Target="https://i.imgur.com/495lSLx.png" TargetMode="External"/><Relationship Id="rId6" Type="http://schemas.openxmlformats.org/officeDocument/2006/relationships/hyperlink" Target="https://i.imgur.com/RawtiNq.jpeg" TargetMode="External"/><Relationship Id="rId7" Type="http://schemas.openxmlformats.org/officeDocument/2006/relationships/hyperlink" Target="https://i.imgur.com/EMR87zy.png" TargetMode="External"/><Relationship Id="rId8" Type="http://schemas.openxmlformats.org/officeDocument/2006/relationships/hyperlink" Target="https://i.imgur.com/2SpXRC9.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25"/>
    <col customWidth="1" min="3" max="3" width="16.0"/>
  </cols>
  <sheetData>
    <row r="1">
      <c r="A1" s="1" t="s">
        <v>0</v>
      </c>
      <c r="B1" s="1" t="s">
        <v>5</v>
      </c>
      <c r="C1" s="1" t="s">
        <v>7</v>
      </c>
      <c r="D1" s="1" t="s">
        <v>2</v>
      </c>
      <c r="E1" s="1" t="s">
        <v>3</v>
      </c>
      <c r="F1" s="1" t="s">
        <v>4</v>
      </c>
      <c r="G1" s="1" t="s">
        <v>6</v>
      </c>
    </row>
    <row r="2">
      <c r="A2" s="1" t="s">
        <v>12</v>
      </c>
      <c r="B2" s="1">
        <v>2009.0</v>
      </c>
      <c r="C2" s="1" t="s">
        <v>15</v>
      </c>
      <c r="D2" s="1">
        <v>8.0</v>
      </c>
      <c r="E2" s="1">
        <v>1.0</v>
      </c>
      <c r="F2" s="1">
        <v>0.0</v>
      </c>
      <c r="G2" s="1">
        <v>1.0</v>
      </c>
    </row>
    <row r="3">
      <c r="A3" s="1" t="s">
        <v>16</v>
      </c>
      <c r="B3" s="1">
        <v>2009.0</v>
      </c>
      <c r="C3" s="1" t="s">
        <v>17</v>
      </c>
      <c r="D3" s="1">
        <v>12.0</v>
      </c>
      <c r="E3" s="1">
        <v>2.0</v>
      </c>
      <c r="F3" s="1">
        <v>1.0</v>
      </c>
      <c r="G3" s="1">
        <v>1.0</v>
      </c>
    </row>
    <row r="4">
      <c r="A4" s="1" t="s">
        <v>18</v>
      </c>
      <c r="B4" s="1">
        <v>2009.0</v>
      </c>
      <c r="C4" s="1" t="s">
        <v>19</v>
      </c>
      <c r="D4" s="1">
        <v>10.0</v>
      </c>
      <c r="E4" s="1">
        <v>4.0</v>
      </c>
      <c r="F4" s="1">
        <v>0.0</v>
      </c>
      <c r="G4" s="1">
        <v>1.0</v>
      </c>
    </row>
    <row r="5">
      <c r="A5" s="1" t="s">
        <v>20</v>
      </c>
      <c r="B5" s="1">
        <v>2009.0</v>
      </c>
      <c r="C5" s="1" t="s">
        <v>21</v>
      </c>
      <c r="D5" s="1">
        <v>5.0</v>
      </c>
      <c r="E5" s="1">
        <v>9.0</v>
      </c>
      <c r="F5" s="1">
        <v>1.0</v>
      </c>
      <c r="G5" s="1">
        <v>1.0</v>
      </c>
    </row>
    <row r="6">
      <c r="A6" s="1" t="s">
        <v>22</v>
      </c>
      <c r="B6" s="1">
        <v>2009.0</v>
      </c>
      <c r="C6" s="1" t="s">
        <v>23</v>
      </c>
      <c r="D6" s="1">
        <v>4.0</v>
      </c>
      <c r="E6" s="1">
        <v>10.0</v>
      </c>
      <c r="F6" s="1">
        <v>0.0</v>
      </c>
      <c r="G6" s="1">
        <v>0.0</v>
      </c>
    </row>
    <row r="7">
      <c r="A7" s="1" t="s">
        <v>24</v>
      </c>
      <c r="B7" s="1">
        <v>2009.0</v>
      </c>
      <c r="C7" s="1" t="s">
        <v>15</v>
      </c>
      <c r="D7" s="1">
        <v>0.0</v>
      </c>
      <c r="E7" s="1">
        <v>5.0</v>
      </c>
      <c r="F7" s="1">
        <v>0.0</v>
      </c>
      <c r="G7" s="1">
        <v>0.0</v>
      </c>
    </row>
    <row r="8">
      <c r="A8" s="1" t="s">
        <v>25</v>
      </c>
      <c r="B8" s="1">
        <v>2009.0</v>
      </c>
      <c r="C8" s="1" t="s">
        <v>26</v>
      </c>
      <c r="D8" s="1">
        <v>2.0</v>
      </c>
      <c r="E8" s="1">
        <v>11.0</v>
      </c>
      <c r="F8" s="1">
        <v>0.0</v>
      </c>
      <c r="G8" s="1">
        <v>0.0</v>
      </c>
    </row>
    <row r="9">
      <c r="A9" s="1" t="s">
        <v>27</v>
      </c>
      <c r="B9" s="1">
        <v>2009.0</v>
      </c>
      <c r="C9" s="1" t="s">
        <v>28</v>
      </c>
      <c r="D9" s="1">
        <v>5.0</v>
      </c>
      <c r="E9" s="1">
        <v>9.0</v>
      </c>
      <c r="F9" s="1">
        <v>0.0</v>
      </c>
      <c r="G9" s="1">
        <v>0.0</v>
      </c>
    </row>
    <row r="10">
      <c r="A10" s="1" t="s">
        <v>29</v>
      </c>
      <c r="B10" s="1">
        <v>2009.0</v>
      </c>
      <c r="C10" s="1" t="s">
        <v>30</v>
      </c>
      <c r="D10" s="1">
        <v>0.0</v>
      </c>
      <c r="E10" s="1">
        <v>8.0</v>
      </c>
      <c r="F10" s="1">
        <v>0.0</v>
      </c>
      <c r="G10" s="1">
        <v>0.0</v>
      </c>
    </row>
    <row r="11">
      <c r="A11" s="1" t="s">
        <v>31</v>
      </c>
      <c r="B11" s="1">
        <v>2009.0</v>
      </c>
      <c r="C11" s="1" t="s">
        <v>32</v>
      </c>
      <c r="D11" s="1">
        <v>12.0</v>
      </c>
      <c r="E11" s="1">
        <v>2.0</v>
      </c>
      <c r="F11" s="1">
        <v>1.0</v>
      </c>
      <c r="G11" s="1">
        <v>1.0</v>
      </c>
    </row>
    <row r="12">
      <c r="A12" s="1" t="s">
        <v>33</v>
      </c>
      <c r="B12" s="1">
        <v>2009.0</v>
      </c>
      <c r="C12" s="1" t="s">
        <v>34</v>
      </c>
      <c r="D12" s="1">
        <v>9.0</v>
      </c>
      <c r="E12" s="1">
        <v>5.0</v>
      </c>
      <c r="F12" s="1">
        <v>0.0</v>
      </c>
      <c r="G12" s="1">
        <v>1.0</v>
      </c>
    </row>
    <row r="13">
      <c r="A13" s="1" t="s">
        <v>35</v>
      </c>
      <c r="B13" s="1">
        <v>2009.0</v>
      </c>
      <c r="C13" s="1" t="s">
        <v>26</v>
      </c>
      <c r="D13" s="1">
        <v>1.0</v>
      </c>
      <c r="E13" s="1">
        <v>0.0</v>
      </c>
      <c r="F13" s="1">
        <v>0.0</v>
      </c>
      <c r="G13" s="1">
        <v>0.0</v>
      </c>
    </row>
    <row r="14">
      <c r="A14" s="1" t="s">
        <v>36</v>
      </c>
      <c r="B14" s="1">
        <v>2009.0</v>
      </c>
      <c r="C14" s="1" t="s">
        <v>37</v>
      </c>
      <c r="D14" s="1">
        <v>8.0</v>
      </c>
      <c r="E14" s="1">
        <v>6.0</v>
      </c>
      <c r="F14" s="1">
        <v>2.0</v>
      </c>
      <c r="G14" s="1">
        <v>1.0</v>
      </c>
    </row>
    <row r="15">
      <c r="A15" s="1" t="s">
        <v>38</v>
      </c>
      <c r="B15" s="1">
        <v>2009.0</v>
      </c>
      <c r="C15" s="1" t="s">
        <v>39</v>
      </c>
      <c r="D15" s="1">
        <v>12.0</v>
      </c>
      <c r="E15" s="1">
        <v>2.0</v>
      </c>
      <c r="F15" s="1">
        <v>3.0</v>
      </c>
      <c r="G15" s="1">
        <v>0.0</v>
      </c>
    </row>
    <row r="16">
      <c r="A16" s="1" t="s">
        <v>40</v>
      </c>
      <c r="B16" s="1">
        <v>2009.0</v>
      </c>
      <c r="C16" s="1" t="s">
        <v>41</v>
      </c>
      <c r="D16" s="1">
        <v>1.0</v>
      </c>
      <c r="E16" s="1">
        <v>5.0</v>
      </c>
      <c r="F16" s="1">
        <v>0.0</v>
      </c>
      <c r="G16" s="1">
        <v>0.0</v>
      </c>
    </row>
    <row r="17">
      <c r="A17" s="1" t="s">
        <v>42</v>
      </c>
      <c r="B17" s="1">
        <v>2009.0</v>
      </c>
      <c r="C17" s="1" t="s">
        <v>43</v>
      </c>
      <c r="D17" s="1">
        <v>0.0</v>
      </c>
      <c r="E17" s="1">
        <v>1.0</v>
      </c>
      <c r="F17" s="1">
        <v>3.0</v>
      </c>
      <c r="G17" s="1">
        <v>1.0</v>
      </c>
    </row>
    <row r="18">
      <c r="A18" s="1" t="s">
        <v>44</v>
      </c>
      <c r="B18" s="1">
        <v>2009.0</v>
      </c>
      <c r="C18" s="1" t="s">
        <v>45</v>
      </c>
      <c r="D18" s="1">
        <v>7.0</v>
      </c>
      <c r="E18" s="1">
        <v>7.0</v>
      </c>
      <c r="F18" s="1">
        <v>1.0</v>
      </c>
      <c r="G18" s="1">
        <v>1.0</v>
      </c>
    </row>
    <row r="19">
      <c r="A19" s="1" t="s">
        <v>46</v>
      </c>
      <c r="B19" s="1">
        <v>2009.0</v>
      </c>
      <c r="C19" s="1" t="s">
        <v>43</v>
      </c>
      <c r="D19" s="1">
        <v>8.0</v>
      </c>
      <c r="E19" s="1">
        <v>5.0</v>
      </c>
      <c r="F19" s="1">
        <v>0.0</v>
      </c>
      <c r="G19" s="1">
        <v>0.0</v>
      </c>
    </row>
    <row r="20">
      <c r="A20" s="1" t="s">
        <v>47</v>
      </c>
      <c r="B20" s="1">
        <v>2009.0</v>
      </c>
      <c r="C20" s="1" t="s">
        <v>48</v>
      </c>
      <c r="D20" s="1">
        <v>6.0</v>
      </c>
      <c r="E20" s="1">
        <v>8.0</v>
      </c>
      <c r="F20" s="1">
        <v>0.0</v>
      </c>
      <c r="G20" s="1">
        <v>0.0</v>
      </c>
    </row>
    <row r="21">
      <c r="A21" s="1" t="s">
        <v>49</v>
      </c>
      <c r="B21" s="1">
        <v>2009.0</v>
      </c>
      <c r="C21" s="1" t="s">
        <v>30</v>
      </c>
      <c r="D21" s="1">
        <v>0.0</v>
      </c>
      <c r="E21" s="1">
        <v>6.0</v>
      </c>
      <c r="F21" s="1">
        <v>0.0</v>
      </c>
      <c r="G21" s="1">
        <v>0.0</v>
      </c>
    </row>
    <row r="22">
      <c r="A22" s="1" t="s">
        <v>50</v>
      </c>
      <c r="B22" s="1">
        <v>2009.0</v>
      </c>
      <c r="C22" s="1" t="s">
        <v>51</v>
      </c>
      <c r="D22" s="1">
        <v>5.0</v>
      </c>
      <c r="E22" s="1">
        <v>9.0</v>
      </c>
      <c r="F22" s="1">
        <v>0.0</v>
      </c>
      <c r="G22" s="1">
        <v>1.0</v>
      </c>
    </row>
    <row r="23">
      <c r="A23" s="1" t="s">
        <v>52</v>
      </c>
      <c r="B23" s="1">
        <v>2009.0</v>
      </c>
      <c r="C23" s="1" t="s">
        <v>53</v>
      </c>
      <c r="D23" s="1">
        <v>10.0</v>
      </c>
      <c r="E23" s="1">
        <v>4.0</v>
      </c>
      <c r="F23" s="1">
        <v>0.0</v>
      </c>
      <c r="G23" s="1">
        <v>1.0</v>
      </c>
    </row>
    <row r="24">
      <c r="A24" s="1" t="s">
        <v>54</v>
      </c>
      <c r="B24" s="1">
        <v>2009.0</v>
      </c>
      <c r="C24" s="1" t="s">
        <v>41</v>
      </c>
      <c r="D24" s="1">
        <v>0.0</v>
      </c>
      <c r="E24" s="1">
        <v>4.0</v>
      </c>
      <c r="F24" s="1">
        <v>0.0</v>
      </c>
      <c r="G24" s="1">
        <v>0.0</v>
      </c>
    </row>
    <row r="25">
      <c r="A25" s="1" t="s">
        <v>55</v>
      </c>
      <c r="B25" s="1">
        <v>2009.0</v>
      </c>
      <c r="C25" s="1" t="s">
        <v>56</v>
      </c>
      <c r="D25" s="1">
        <v>3.0</v>
      </c>
      <c r="E25" s="1">
        <v>11.0</v>
      </c>
      <c r="F25" s="1">
        <v>0.0</v>
      </c>
      <c r="G25" s="1">
        <v>0.0</v>
      </c>
    </row>
    <row r="26">
      <c r="A26" s="1" t="s">
        <v>57</v>
      </c>
      <c r="B26" s="1">
        <v>2010.0</v>
      </c>
      <c r="C26" s="1" t="s">
        <v>58</v>
      </c>
      <c r="D26" s="1">
        <v>11.0</v>
      </c>
      <c r="E26" s="1">
        <v>3.0</v>
      </c>
      <c r="F26" s="1">
        <v>2.0</v>
      </c>
      <c r="G26" s="1">
        <v>1.0</v>
      </c>
    </row>
    <row r="27">
      <c r="A27" s="1" t="s">
        <v>12</v>
      </c>
      <c r="B27" s="1">
        <v>2010.0</v>
      </c>
      <c r="C27" s="1" t="s">
        <v>15</v>
      </c>
      <c r="D27" s="1">
        <v>2.0</v>
      </c>
      <c r="E27" s="1">
        <v>12.0</v>
      </c>
      <c r="F27" s="1">
        <v>0.0</v>
      </c>
      <c r="G27" s="1">
        <v>0.0</v>
      </c>
    </row>
    <row r="28">
      <c r="A28" s="1" t="s">
        <v>60</v>
      </c>
      <c r="B28" s="1">
        <v>2010.0</v>
      </c>
      <c r="C28" s="1" t="s">
        <v>61</v>
      </c>
      <c r="D28" s="1">
        <v>3.0</v>
      </c>
      <c r="E28" s="1">
        <v>11.0</v>
      </c>
      <c r="F28" s="1">
        <v>0.0</v>
      </c>
      <c r="G28" s="1">
        <v>0.0</v>
      </c>
    </row>
    <row r="29">
      <c r="A29" s="1" t="s">
        <v>18</v>
      </c>
      <c r="B29" s="1">
        <v>2010.0</v>
      </c>
      <c r="C29" s="1" t="s">
        <v>19</v>
      </c>
      <c r="D29" s="1">
        <v>3.0</v>
      </c>
      <c r="E29" s="1">
        <v>5.0</v>
      </c>
      <c r="F29" s="1">
        <v>0.0</v>
      </c>
      <c r="G29" s="1">
        <v>0.0</v>
      </c>
    </row>
    <row r="30">
      <c r="A30" s="1" t="s">
        <v>62</v>
      </c>
      <c r="B30" s="1">
        <v>2010.0</v>
      </c>
      <c r="C30" s="1" t="s">
        <v>63</v>
      </c>
      <c r="D30" s="1">
        <v>13.0</v>
      </c>
      <c r="E30" s="1">
        <v>1.0</v>
      </c>
      <c r="F30" s="1">
        <v>0.0</v>
      </c>
      <c r="G30" s="1">
        <v>1.0</v>
      </c>
    </row>
    <row r="31">
      <c r="A31" s="1" t="s">
        <v>64</v>
      </c>
      <c r="B31" s="1">
        <v>2010.0</v>
      </c>
      <c r="C31" s="1" t="s">
        <v>53</v>
      </c>
      <c r="D31" s="1">
        <v>1.0</v>
      </c>
      <c r="E31" s="1">
        <v>4.0</v>
      </c>
      <c r="F31" s="1">
        <v>0.0</v>
      </c>
      <c r="G31" s="1">
        <v>0.0</v>
      </c>
    </row>
    <row r="32">
      <c r="A32" s="1" t="s">
        <v>65</v>
      </c>
      <c r="B32" s="1">
        <v>2010.0</v>
      </c>
      <c r="C32" s="1" t="s">
        <v>21</v>
      </c>
      <c r="D32" s="1">
        <v>10.0</v>
      </c>
      <c r="E32" s="1">
        <v>4.0</v>
      </c>
      <c r="F32" s="1">
        <v>1.0</v>
      </c>
      <c r="G32" s="1">
        <v>1.0</v>
      </c>
    </row>
    <row r="33">
      <c r="A33" s="1" t="s">
        <v>66</v>
      </c>
      <c r="B33" s="1">
        <v>2010.0</v>
      </c>
      <c r="C33" s="1" t="s">
        <v>67</v>
      </c>
      <c r="D33" s="1">
        <v>2.0</v>
      </c>
      <c r="E33" s="1">
        <v>12.0</v>
      </c>
      <c r="F33" s="1">
        <v>0.0</v>
      </c>
      <c r="G33" s="1">
        <v>0.0</v>
      </c>
    </row>
    <row r="34">
      <c r="A34" s="1" t="s">
        <v>68</v>
      </c>
      <c r="B34" s="1">
        <v>2010.0</v>
      </c>
      <c r="C34" s="1" t="s">
        <v>69</v>
      </c>
      <c r="D34" s="1">
        <v>1.0</v>
      </c>
      <c r="E34" s="1">
        <v>5.0</v>
      </c>
      <c r="F34" s="1">
        <v>0.0</v>
      </c>
      <c r="G34" s="1">
        <v>0.0</v>
      </c>
    </row>
    <row r="35">
      <c r="A35" s="1" t="s">
        <v>27</v>
      </c>
      <c r="B35" s="1">
        <v>2010.0</v>
      </c>
      <c r="C35" s="1" t="s">
        <v>28</v>
      </c>
      <c r="D35" s="1">
        <v>6.0</v>
      </c>
      <c r="E35" s="1">
        <v>8.0</v>
      </c>
      <c r="F35" s="1">
        <v>0.0</v>
      </c>
      <c r="G35" s="1">
        <v>1.0</v>
      </c>
    </row>
    <row r="36">
      <c r="A36" s="1" t="s">
        <v>73</v>
      </c>
      <c r="B36" s="1">
        <v>2010.0</v>
      </c>
      <c r="C36" s="1" t="s">
        <v>74</v>
      </c>
      <c r="D36" s="1">
        <v>5.0</v>
      </c>
      <c r="E36" s="1">
        <v>9.0</v>
      </c>
      <c r="F36" s="1">
        <v>0.0</v>
      </c>
      <c r="G36" s="1">
        <v>0.0</v>
      </c>
    </row>
    <row r="37">
      <c r="A37" s="1" t="s">
        <v>75</v>
      </c>
      <c r="B37" s="1">
        <v>2010.0</v>
      </c>
      <c r="C37" s="1" t="s">
        <v>30</v>
      </c>
      <c r="D37" s="1">
        <v>2.0</v>
      </c>
      <c r="E37" s="1">
        <v>12.0</v>
      </c>
      <c r="F37" s="1">
        <v>0.0</v>
      </c>
      <c r="G37" s="1">
        <v>0.0</v>
      </c>
    </row>
    <row r="38">
      <c r="A38" s="1" t="s">
        <v>33</v>
      </c>
      <c r="B38" s="1">
        <v>2010.0</v>
      </c>
      <c r="C38" s="1" t="s">
        <v>34</v>
      </c>
      <c r="D38" s="1">
        <v>9.0</v>
      </c>
      <c r="E38" s="1">
        <v>5.0</v>
      </c>
      <c r="F38" s="1">
        <v>1.0</v>
      </c>
      <c r="G38" s="1">
        <v>1.0</v>
      </c>
    </row>
    <row r="39">
      <c r="A39" s="1" t="s">
        <v>76</v>
      </c>
      <c r="B39" s="1">
        <v>2010.0</v>
      </c>
      <c r="C39" s="1" t="s">
        <v>77</v>
      </c>
      <c r="D39" s="1">
        <v>11.0</v>
      </c>
      <c r="E39" s="1">
        <v>3.0</v>
      </c>
      <c r="F39" s="1">
        <v>1.0</v>
      </c>
      <c r="G39" s="1">
        <v>1.0</v>
      </c>
    </row>
    <row r="40">
      <c r="A40" s="1" t="s">
        <v>36</v>
      </c>
      <c r="B40" s="1">
        <v>2010.0</v>
      </c>
      <c r="C40" s="1" t="s">
        <v>37</v>
      </c>
      <c r="D40" s="1">
        <v>9.0</v>
      </c>
      <c r="E40" s="1">
        <v>5.0</v>
      </c>
      <c r="F40" s="1">
        <v>2.0</v>
      </c>
      <c r="G40" s="1">
        <v>1.0</v>
      </c>
    </row>
    <row r="41">
      <c r="A41" s="1" t="s">
        <v>78</v>
      </c>
      <c r="B41" s="1">
        <v>2010.0</v>
      </c>
      <c r="C41" s="1" t="s">
        <v>69</v>
      </c>
      <c r="D41" s="1">
        <v>5.0</v>
      </c>
      <c r="E41" s="1">
        <v>9.0</v>
      </c>
      <c r="F41" s="1">
        <v>0.0</v>
      </c>
      <c r="G41" s="1">
        <v>0.0</v>
      </c>
    </row>
    <row r="42">
      <c r="A42" s="1" t="s">
        <v>79</v>
      </c>
      <c r="B42" s="1">
        <v>2010.0</v>
      </c>
      <c r="C42" s="1" t="s">
        <v>80</v>
      </c>
      <c r="D42" s="1">
        <v>6.0</v>
      </c>
      <c r="E42" s="1">
        <v>8.0</v>
      </c>
      <c r="F42" s="1">
        <v>1.0</v>
      </c>
      <c r="G42" s="1">
        <v>1.0</v>
      </c>
    </row>
    <row r="43">
      <c r="A43" s="1" t="s">
        <v>38</v>
      </c>
      <c r="B43" s="1">
        <v>2010.0</v>
      </c>
      <c r="C43" s="1" t="s">
        <v>39</v>
      </c>
      <c r="D43" s="1">
        <v>12.0</v>
      </c>
      <c r="E43" s="1">
        <v>2.0</v>
      </c>
      <c r="F43" s="1">
        <v>4.0</v>
      </c>
      <c r="G43" s="1">
        <v>0.0</v>
      </c>
    </row>
    <row r="44">
      <c r="A44" s="1" t="s">
        <v>42</v>
      </c>
      <c r="B44" s="1">
        <v>2010.0</v>
      </c>
      <c r="C44" s="1" t="s">
        <v>32</v>
      </c>
      <c r="D44" s="1">
        <v>9.0</v>
      </c>
      <c r="E44" s="1">
        <v>5.0</v>
      </c>
      <c r="F44" s="1">
        <v>0.0</v>
      </c>
      <c r="G44" s="1">
        <v>1.0</v>
      </c>
    </row>
    <row r="45">
      <c r="A45" s="1" t="s">
        <v>44</v>
      </c>
      <c r="B45" s="1">
        <v>2010.0</v>
      </c>
      <c r="C45" s="1" t="s">
        <v>45</v>
      </c>
      <c r="D45" s="1">
        <v>9.0</v>
      </c>
      <c r="E45" s="1">
        <v>5.0</v>
      </c>
      <c r="F45" s="1">
        <v>0.0</v>
      </c>
      <c r="G45" s="1">
        <v>1.0</v>
      </c>
    </row>
    <row r="46">
      <c r="A46" s="1" t="s">
        <v>46</v>
      </c>
      <c r="B46" s="1">
        <v>2010.0</v>
      </c>
      <c r="C46" s="1" t="s">
        <v>81</v>
      </c>
      <c r="D46" s="1">
        <v>10.0</v>
      </c>
      <c r="E46" s="1">
        <v>4.0</v>
      </c>
      <c r="F46" s="1">
        <v>0.0</v>
      </c>
      <c r="G46" s="1">
        <v>1.0</v>
      </c>
    </row>
    <row r="47">
      <c r="A47" s="1" t="s">
        <v>47</v>
      </c>
      <c r="B47" s="1">
        <v>2010.0</v>
      </c>
      <c r="C47" s="1" t="s">
        <v>48</v>
      </c>
      <c r="D47" s="1">
        <v>11.0</v>
      </c>
      <c r="E47" s="1">
        <v>3.0</v>
      </c>
      <c r="F47" s="1">
        <v>3.0</v>
      </c>
      <c r="G47" s="1">
        <v>1.0</v>
      </c>
    </row>
    <row r="48">
      <c r="A48" s="1" t="s">
        <v>50</v>
      </c>
      <c r="B48" s="1">
        <v>2010.0</v>
      </c>
      <c r="C48" s="1" t="s">
        <v>51</v>
      </c>
      <c r="D48" s="1">
        <v>2.0</v>
      </c>
      <c r="E48" s="1">
        <v>12.0</v>
      </c>
      <c r="F48" s="1">
        <v>0.0</v>
      </c>
      <c r="G48" s="1">
        <v>0.0</v>
      </c>
    </row>
    <row r="49">
      <c r="A49" s="1" t="s">
        <v>83</v>
      </c>
      <c r="B49" s="1">
        <v>2010.0</v>
      </c>
      <c r="C49" s="1" t="s">
        <v>19</v>
      </c>
      <c r="D49" s="1">
        <v>6.0</v>
      </c>
      <c r="E49" s="1">
        <v>0.0</v>
      </c>
      <c r="F49" s="1">
        <v>0.0</v>
      </c>
      <c r="G49" s="1">
        <v>1.0</v>
      </c>
    </row>
    <row r="50">
      <c r="A50" s="1" t="s">
        <v>84</v>
      </c>
      <c r="B50" s="1">
        <v>2010.0</v>
      </c>
      <c r="C50" s="1" t="s">
        <v>85</v>
      </c>
      <c r="D50" s="1">
        <v>7.0</v>
      </c>
      <c r="E50" s="1">
        <v>7.0</v>
      </c>
      <c r="F50" s="1">
        <v>0.0</v>
      </c>
      <c r="G50" s="1">
        <v>1.0</v>
      </c>
    </row>
    <row r="51">
      <c r="A51" s="1" t="s">
        <v>52</v>
      </c>
      <c r="B51" s="1">
        <v>2010.0</v>
      </c>
      <c r="C51" s="1" t="s">
        <v>53</v>
      </c>
      <c r="D51" s="1">
        <v>0.0</v>
      </c>
      <c r="E51" s="1">
        <v>9.0</v>
      </c>
      <c r="F51" s="1">
        <v>0.0</v>
      </c>
      <c r="G51" s="1">
        <v>0.0</v>
      </c>
    </row>
    <row r="52">
      <c r="A52" s="1" t="s">
        <v>86</v>
      </c>
      <c r="B52" s="1">
        <v>2010.0</v>
      </c>
      <c r="C52" s="1" t="s">
        <v>23</v>
      </c>
      <c r="D52" s="1">
        <v>4.0</v>
      </c>
      <c r="E52" s="1">
        <v>8.0</v>
      </c>
      <c r="F52" s="1">
        <v>0.0</v>
      </c>
      <c r="G52" s="1">
        <v>0.0</v>
      </c>
    </row>
    <row r="53">
      <c r="A53" s="1" t="s">
        <v>55</v>
      </c>
      <c r="B53" s="1">
        <v>2010.0</v>
      </c>
      <c r="C53" s="1" t="s">
        <v>87</v>
      </c>
      <c r="D53" s="1">
        <v>7.0</v>
      </c>
      <c r="E53" s="1">
        <v>7.0</v>
      </c>
      <c r="F53" s="1">
        <v>0.0</v>
      </c>
      <c r="G53" s="1">
        <v>1.0</v>
      </c>
    </row>
    <row r="54">
      <c r="A54" s="1" t="s">
        <v>12</v>
      </c>
      <c r="B54" s="1">
        <v>2011.0</v>
      </c>
      <c r="C54" s="1" t="s">
        <v>77</v>
      </c>
      <c r="D54" s="1">
        <v>4.0</v>
      </c>
      <c r="E54" s="1">
        <v>10.0</v>
      </c>
      <c r="F54" s="1">
        <v>0.0</v>
      </c>
      <c r="G54" s="1">
        <v>0.0</v>
      </c>
    </row>
    <row r="55">
      <c r="A55" s="1" t="s">
        <v>90</v>
      </c>
      <c r="B55" s="1">
        <v>2011.0</v>
      </c>
      <c r="C55" s="1" t="s">
        <v>91</v>
      </c>
      <c r="D55" s="1">
        <v>4.0</v>
      </c>
      <c r="E55" s="1">
        <v>10.0</v>
      </c>
      <c r="F55" s="1">
        <v>0.0</v>
      </c>
      <c r="G55" s="1">
        <v>0.0</v>
      </c>
    </row>
    <row r="56">
      <c r="A56" s="1" t="s">
        <v>60</v>
      </c>
      <c r="B56" s="1">
        <v>2011.0</v>
      </c>
      <c r="C56" s="1" t="s">
        <v>61</v>
      </c>
      <c r="D56" s="1">
        <v>2.0</v>
      </c>
      <c r="E56" s="1">
        <v>2.0</v>
      </c>
      <c r="F56" s="1">
        <v>0.0</v>
      </c>
      <c r="G56" s="1">
        <v>0.0</v>
      </c>
    </row>
    <row r="57">
      <c r="A57" s="1" t="s">
        <v>92</v>
      </c>
      <c r="B57" s="1">
        <v>2011.0</v>
      </c>
      <c r="C57" s="1" t="s">
        <v>93</v>
      </c>
      <c r="D57" s="1">
        <v>3.0</v>
      </c>
      <c r="E57" s="1">
        <v>11.0</v>
      </c>
      <c r="F57" s="1">
        <v>0.0</v>
      </c>
      <c r="G57" s="1">
        <v>0.0</v>
      </c>
    </row>
    <row r="58">
      <c r="A58" s="1" t="s">
        <v>94</v>
      </c>
      <c r="B58" s="1">
        <v>2011.0</v>
      </c>
      <c r="C58" s="1" t="s">
        <v>45</v>
      </c>
      <c r="D58" s="1">
        <v>10.0</v>
      </c>
      <c r="E58" s="1">
        <v>4.0</v>
      </c>
      <c r="F58" s="1">
        <v>0.0</v>
      </c>
      <c r="G58" s="1">
        <v>1.0</v>
      </c>
    </row>
    <row r="59">
      <c r="A59" s="1" t="s">
        <v>95</v>
      </c>
      <c r="B59" s="1">
        <v>2011.0</v>
      </c>
      <c r="C59" s="1" t="s">
        <v>63</v>
      </c>
      <c r="D59" s="1">
        <v>3.0</v>
      </c>
      <c r="E59" s="1">
        <v>11.0</v>
      </c>
      <c r="F59" s="1">
        <v>0.0</v>
      </c>
      <c r="G59" s="1">
        <v>0.0</v>
      </c>
    </row>
    <row r="60">
      <c r="A60" s="1" t="s">
        <v>96</v>
      </c>
      <c r="B60" s="1">
        <v>2011.0</v>
      </c>
      <c r="C60" s="1" t="s">
        <v>37</v>
      </c>
      <c r="D60" s="1">
        <v>6.0</v>
      </c>
      <c r="E60" s="1">
        <v>3.0</v>
      </c>
      <c r="F60" s="1">
        <v>0.0</v>
      </c>
      <c r="G60" s="1">
        <v>0.0</v>
      </c>
    </row>
    <row r="61">
      <c r="A61" s="1" t="s">
        <v>97</v>
      </c>
      <c r="B61" s="1">
        <v>2011.0</v>
      </c>
      <c r="C61" s="1" t="s">
        <v>98</v>
      </c>
      <c r="D61" s="1">
        <v>9.0</v>
      </c>
      <c r="E61" s="1">
        <v>5.0</v>
      </c>
      <c r="F61" s="1">
        <v>0.0</v>
      </c>
      <c r="G61" s="1">
        <v>1.0</v>
      </c>
    </row>
    <row r="62">
      <c r="A62" s="1" t="s">
        <v>99</v>
      </c>
      <c r="B62" s="1">
        <v>2011.0</v>
      </c>
      <c r="C62" s="1" t="s">
        <v>100</v>
      </c>
      <c r="D62" s="1">
        <v>10.0</v>
      </c>
      <c r="E62" s="1">
        <v>4.0</v>
      </c>
      <c r="F62" s="1">
        <v>2.0</v>
      </c>
      <c r="G62" s="1">
        <v>1.0</v>
      </c>
    </row>
    <row r="63">
      <c r="A63" s="1" t="s">
        <v>36</v>
      </c>
      <c r="B63" s="1">
        <v>2011.0</v>
      </c>
      <c r="C63" s="1" t="s">
        <v>37</v>
      </c>
      <c r="D63" s="1">
        <v>0.0</v>
      </c>
      <c r="E63" s="1">
        <v>5.0</v>
      </c>
      <c r="F63" s="1">
        <v>0.0</v>
      </c>
      <c r="G63" s="1">
        <v>0.0</v>
      </c>
    </row>
    <row r="64">
      <c r="A64" s="1" t="s">
        <v>78</v>
      </c>
      <c r="B64" s="1">
        <v>2011.0</v>
      </c>
      <c r="C64" s="1" t="s">
        <v>101</v>
      </c>
      <c r="D64" s="1">
        <v>2.0</v>
      </c>
      <c r="E64" s="1">
        <v>12.0</v>
      </c>
      <c r="F64" s="1">
        <v>0.0</v>
      </c>
      <c r="G64" s="1">
        <v>0.0</v>
      </c>
    </row>
    <row r="65">
      <c r="A65" s="1" t="s">
        <v>79</v>
      </c>
      <c r="B65" s="1">
        <v>2011.0</v>
      </c>
      <c r="C65" s="1" t="s">
        <v>80</v>
      </c>
      <c r="D65" s="1">
        <v>8.0</v>
      </c>
      <c r="E65" s="1">
        <v>6.0</v>
      </c>
      <c r="F65" s="1">
        <v>0.0</v>
      </c>
      <c r="G65" s="1">
        <v>1.0</v>
      </c>
    </row>
    <row r="66">
      <c r="A66" s="1" t="s">
        <v>102</v>
      </c>
      <c r="B66" s="1">
        <v>2011.0</v>
      </c>
      <c r="C66" s="1" t="s">
        <v>103</v>
      </c>
      <c r="D66" s="1">
        <v>1.0</v>
      </c>
      <c r="E66" s="1">
        <v>13.0</v>
      </c>
      <c r="F66" s="1">
        <v>0.0</v>
      </c>
      <c r="G66" s="1">
        <v>0.0</v>
      </c>
    </row>
    <row r="67">
      <c r="A67" s="1" t="s">
        <v>105</v>
      </c>
      <c r="B67" s="1">
        <v>2011.0</v>
      </c>
      <c r="C67" s="1" t="s">
        <v>61</v>
      </c>
      <c r="D67" s="1">
        <v>3.0</v>
      </c>
      <c r="E67" s="1">
        <v>7.0</v>
      </c>
      <c r="F67" s="1">
        <v>0.0</v>
      </c>
      <c r="G67" s="1">
        <v>0.0</v>
      </c>
    </row>
    <row r="68">
      <c r="A68" s="1" t="s">
        <v>106</v>
      </c>
      <c r="B68" s="1">
        <v>2011.0</v>
      </c>
      <c r="C68" s="1" t="s">
        <v>19</v>
      </c>
      <c r="D68" s="1">
        <v>9.0</v>
      </c>
      <c r="E68" s="1">
        <v>5.0</v>
      </c>
      <c r="F68" s="1">
        <v>0.0</v>
      </c>
      <c r="G68" s="1">
        <v>1.0</v>
      </c>
    </row>
    <row r="69">
      <c r="A69" s="1" t="s">
        <v>44</v>
      </c>
      <c r="B69" s="1">
        <v>2011.0</v>
      </c>
      <c r="C69" s="1" t="s">
        <v>107</v>
      </c>
      <c r="D69" s="1">
        <v>4.0</v>
      </c>
      <c r="E69" s="1">
        <v>4.0</v>
      </c>
      <c r="F69" s="1">
        <v>0.0</v>
      </c>
      <c r="G69" s="1">
        <v>0.0</v>
      </c>
    </row>
    <row r="70">
      <c r="A70" s="1" t="s">
        <v>46</v>
      </c>
      <c r="B70" s="1">
        <v>2011.0</v>
      </c>
      <c r="C70" s="1" t="s">
        <v>81</v>
      </c>
      <c r="D70" s="1">
        <v>11.0</v>
      </c>
      <c r="E70" s="1">
        <v>3.0</v>
      </c>
      <c r="F70" s="1">
        <v>1.0</v>
      </c>
      <c r="G70" s="1">
        <v>1.0</v>
      </c>
    </row>
    <row r="71">
      <c r="A71" s="1" t="s">
        <v>47</v>
      </c>
      <c r="B71" s="1">
        <v>2011.0</v>
      </c>
      <c r="C71" s="1" t="s">
        <v>48</v>
      </c>
      <c r="D71" s="1">
        <v>13.0</v>
      </c>
      <c r="E71" s="1">
        <v>1.0</v>
      </c>
      <c r="F71" s="1">
        <v>3.0</v>
      </c>
      <c r="G71" s="1">
        <v>0.0</v>
      </c>
    </row>
    <row r="72">
      <c r="A72" s="1" t="s">
        <v>50</v>
      </c>
      <c r="B72" s="1">
        <v>2011.0</v>
      </c>
      <c r="C72" s="1" t="s">
        <v>51</v>
      </c>
      <c r="D72" s="1">
        <v>11.0</v>
      </c>
      <c r="E72" s="1">
        <v>3.0</v>
      </c>
      <c r="F72" s="1">
        <v>0.0</v>
      </c>
      <c r="G72" s="1">
        <v>1.0</v>
      </c>
    </row>
    <row r="73">
      <c r="A73" s="1" t="s">
        <v>84</v>
      </c>
      <c r="B73" s="1">
        <v>2011.0</v>
      </c>
      <c r="C73" s="1" t="s">
        <v>85</v>
      </c>
      <c r="D73" s="1">
        <v>10.0</v>
      </c>
      <c r="E73" s="1">
        <v>4.0</v>
      </c>
      <c r="F73" s="1">
        <v>3.0</v>
      </c>
      <c r="G73" s="1">
        <v>1.0</v>
      </c>
    </row>
    <row r="74">
      <c r="A74" s="1" t="s">
        <v>109</v>
      </c>
      <c r="B74" s="1">
        <v>2011.0</v>
      </c>
      <c r="C74" s="1" t="s">
        <v>110</v>
      </c>
      <c r="D74" s="1">
        <v>3.0</v>
      </c>
      <c r="E74" s="1">
        <v>11.0</v>
      </c>
      <c r="F74" s="1">
        <v>0.0</v>
      </c>
      <c r="G74" s="1">
        <v>0.0</v>
      </c>
    </row>
    <row r="75">
      <c r="A75" s="1" t="s">
        <v>111</v>
      </c>
      <c r="B75" s="1">
        <v>2011.0</v>
      </c>
      <c r="C75" s="1" t="s">
        <v>112</v>
      </c>
      <c r="D75" s="1">
        <v>8.0</v>
      </c>
      <c r="E75" s="1">
        <v>6.0</v>
      </c>
      <c r="F75" s="1">
        <v>1.0</v>
      </c>
      <c r="G75" s="1">
        <v>1.0</v>
      </c>
    </row>
    <row r="76">
      <c r="A76" s="1" t="s">
        <v>55</v>
      </c>
      <c r="B76" s="1">
        <v>2011.0</v>
      </c>
      <c r="C76" s="1" t="s">
        <v>87</v>
      </c>
      <c r="D76" s="1">
        <v>10.0</v>
      </c>
      <c r="E76" s="1">
        <v>4.0</v>
      </c>
      <c r="F76" s="1">
        <v>0.0</v>
      </c>
      <c r="G76" s="1">
        <v>1.0</v>
      </c>
    </row>
    <row r="77">
      <c r="A77" s="1" t="s">
        <v>113</v>
      </c>
      <c r="B77" s="1">
        <v>2011.0</v>
      </c>
      <c r="C77" s="1" t="s">
        <v>32</v>
      </c>
      <c r="D77" s="1">
        <v>9.0</v>
      </c>
      <c r="E77" s="1">
        <v>5.0</v>
      </c>
      <c r="F77" s="1">
        <v>1.0</v>
      </c>
      <c r="G77" s="1">
        <v>1.0</v>
      </c>
    </row>
    <row r="78">
      <c r="A78" s="1" t="s">
        <v>114</v>
      </c>
      <c r="B78" s="1">
        <v>2012.0</v>
      </c>
      <c r="C78" s="1" t="s">
        <v>100</v>
      </c>
      <c r="D78" s="1">
        <v>4.0</v>
      </c>
      <c r="E78" s="1">
        <v>2.0</v>
      </c>
      <c r="F78" s="1">
        <v>0.0</v>
      </c>
      <c r="G78" s="1">
        <v>1.0</v>
      </c>
    </row>
    <row r="79">
      <c r="A79" s="1" t="s">
        <v>18</v>
      </c>
      <c r="B79" s="1">
        <v>2012.0</v>
      </c>
      <c r="C79" s="1" t="s">
        <v>19</v>
      </c>
      <c r="D79" s="1">
        <v>10.0</v>
      </c>
      <c r="E79" s="1">
        <v>4.0</v>
      </c>
      <c r="F79" s="1">
        <v>0.0</v>
      </c>
      <c r="G79" s="1">
        <v>1.0</v>
      </c>
    </row>
    <row r="80">
      <c r="A80" s="1" t="s">
        <v>116</v>
      </c>
      <c r="B80" s="1">
        <v>2012.0</v>
      </c>
      <c r="C80" s="1" t="s">
        <v>32</v>
      </c>
      <c r="D80" s="1">
        <v>3.0</v>
      </c>
      <c r="E80" s="1">
        <v>5.0</v>
      </c>
      <c r="F80" s="1">
        <v>0.0</v>
      </c>
      <c r="G80" s="1">
        <v>0.0</v>
      </c>
    </row>
    <row r="81">
      <c r="A81" s="1" t="s">
        <v>92</v>
      </c>
      <c r="B81" s="1">
        <v>2012.0</v>
      </c>
      <c r="C81" s="1" t="s">
        <v>93</v>
      </c>
      <c r="D81" s="1">
        <v>5.0</v>
      </c>
      <c r="E81" s="1">
        <v>9.0</v>
      </c>
      <c r="F81" s="1">
        <v>0.0</v>
      </c>
      <c r="G81" s="1">
        <v>0.0</v>
      </c>
    </row>
    <row r="82">
      <c r="A82" s="1" t="s">
        <v>94</v>
      </c>
      <c r="B82" s="1">
        <v>2012.0</v>
      </c>
      <c r="C82" s="1" t="s">
        <v>81</v>
      </c>
      <c r="D82" s="1">
        <v>11.0</v>
      </c>
      <c r="E82" s="1">
        <v>3.0</v>
      </c>
      <c r="F82" s="1">
        <v>1.0</v>
      </c>
      <c r="G82" s="1">
        <v>1.0</v>
      </c>
    </row>
    <row r="83">
      <c r="A83" s="1" t="s">
        <v>31</v>
      </c>
      <c r="B83" s="1">
        <v>2012.0</v>
      </c>
      <c r="C83" s="1" t="s">
        <v>32</v>
      </c>
      <c r="D83" s="1">
        <v>3.0</v>
      </c>
      <c r="E83" s="1">
        <v>3.0</v>
      </c>
      <c r="F83" s="1">
        <v>0.0</v>
      </c>
      <c r="G83" s="1">
        <v>0.0</v>
      </c>
    </row>
    <row r="84">
      <c r="A84" s="1" t="s">
        <v>96</v>
      </c>
      <c r="B84" s="1">
        <v>2012.0</v>
      </c>
      <c r="C84" s="1" t="s">
        <v>37</v>
      </c>
      <c r="D84" s="1">
        <v>8.0</v>
      </c>
      <c r="E84" s="1">
        <v>6.0</v>
      </c>
      <c r="F84" s="1">
        <v>1.0</v>
      </c>
      <c r="G84" s="1">
        <v>1.0</v>
      </c>
    </row>
    <row r="85">
      <c r="A85" s="1" t="s">
        <v>97</v>
      </c>
      <c r="B85" s="1">
        <v>2012.0</v>
      </c>
      <c r="C85" s="1" t="s">
        <v>98</v>
      </c>
      <c r="D85" s="1">
        <v>4.0</v>
      </c>
      <c r="E85" s="1">
        <v>10.0</v>
      </c>
      <c r="F85" s="1">
        <v>0.0</v>
      </c>
      <c r="G85" s="1">
        <v>0.0</v>
      </c>
    </row>
    <row r="86">
      <c r="A86" s="1" t="s">
        <v>79</v>
      </c>
      <c r="B86" s="1">
        <v>2012.0</v>
      </c>
      <c r="C86" s="1" t="s">
        <v>80</v>
      </c>
      <c r="D86" s="1">
        <v>6.0</v>
      </c>
      <c r="E86" s="1">
        <v>8.0</v>
      </c>
      <c r="F86" s="1">
        <v>0.0</v>
      </c>
      <c r="G86" s="1">
        <v>0.0</v>
      </c>
    </row>
    <row r="87">
      <c r="A87" s="1" t="s">
        <v>105</v>
      </c>
      <c r="B87" s="1">
        <v>2012.0</v>
      </c>
      <c r="C87" s="1" t="s">
        <v>119</v>
      </c>
      <c r="D87" s="1">
        <v>4.0</v>
      </c>
      <c r="E87" s="1">
        <v>10.0</v>
      </c>
      <c r="F87" s="1">
        <v>0.0</v>
      </c>
      <c r="G87" s="1">
        <v>0.0</v>
      </c>
    </row>
    <row r="88">
      <c r="A88" s="1" t="s">
        <v>38</v>
      </c>
      <c r="B88" s="1">
        <v>2012.0</v>
      </c>
      <c r="C88" s="1" t="s">
        <v>51</v>
      </c>
      <c r="D88" s="1">
        <v>8.0</v>
      </c>
      <c r="E88" s="1">
        <v>6.0</v>
      </c>
      <c r="F88" s="1">
        <v>0.0</v>
      </c>
      <c r="G88" s="1">
        <v>1.0</v>
      </c>
    </row>
    <row r="89">
      <c r="A89" s="1" t="s">
        <v>42</v>
      </c>
      <c r="B89" s="1">
        <v>2012.0</v>
      </c>
      <c r="C89" s="1" t="s">
        <v>100</v>
      </c>
      <c r="D89" s="1">
        <v>5.0</v>
      </c>
      <c r="E89" s="1">
        <v>3.0</v>
      </c>
      <c r="F89" s="1">
        <v>0.0</v>
      </c>
      <c r="G89" s="1">
        <v>0.0</v>
      </c>
    </row>
    <row r="90">
      <c r="A90" s="1" t="s">
        <v>44</v>
      </c>
      <c r="B90" s="1">
        <v>2012.0</v>
      </c>
      <c r="C90" s="1" t="s">
        <v>121</v>
      </c>
      <c r="D90" s="1">
        <v>5.0</v>
      </c>
      <c r="E90" s="1">
        <v>9.0</v>
      </c>
      <c r="F90" s="1">
        <v>0.0</v>
      </c>
      <c r="G90" s="1">
        <v>0.0</v>
      </c>
    </row>
    <row r="91">
      <c r="A91" s="1" t="s">
        <v>47</v>
      </c>
      <c r="B91" s="1">
        <v>2012.0</v>
      </c>
      <c r="C91" s="1" t="s">
        <v>48</v>
      </c>
      <c r="D91" s="1">
        <v>14.0</v>
      </c>
      <c r="E91" s="1">
        <v>0.0</v>
      </c>
      <c r="F91" s="1">
        <v>3.0</v>
      </c>
      <c r="G91" s="1">
        <v>0.0</v>
      </c>
    </row>
    <row r="92">
      <c r="A92" s="1" t="s">
        <v>84</v>
      </c>
      <c r="B92" s="1">
        <v>2012.0</v>
      </c>
      <c r="C92" s="1" t="s">
        <v>85</v>
      </c>
      <c r="D92" s="1">
        <v>12.0</v>
      </c>
      <c r="E92" s="1">
        <v>2.0</v>
      </c>
      <c r="F92" s="1">
        <v>2.0</v>
      </c>
      <c r="G92" s="1">
        <v>1.0</v>
      </c>
    </row>
    <row r="93">
      <c r="A93" s="1" t="s">
        <v>123</v>
      </c>
      <c r="B93" s="1">
        <v>2012.0</v>
      </c>
      <c r="C93" s="1" t="s">
        <v>112</v>
      </c>
      <c r="D93" s="1">
        <v>2.0</v>
      </c>
      <c r="E93" s="1">
        <v>12.0</v>
      </c>
      <c r="F93" s="1">
        <v>0.0</v>
      </c>
      <c r="G93" s="1">
        <v>0.0</v>
      </c>
    </row>
    <row r="94">
      <c r="A94" s="1" t="s">
        <v>111</v>
      </c>
      <c r="B94" s="1">
        <v>2012.0</v>
      </c>
      <c r="C94" s="1" t="s">
        <v>91</v>
      </c>
      <c r="D94" s="1">
        <v>6.0</v>
      </c>
      <c r="E94" s="1">
        <v>8.0</v>
      </c>
      <c r="F94" s="1">
        <v>0.0</v>
      </c>
      <c r="G94" s="1">
        <v>1.0</v>
      </c>
    </row>
    <row r="95">
      <c r="A95" s="1" t="s">
        <v>55</v>
      </c>
      <c r="B95" s="1">
        <v>2012.0</v>
      </c>
      <c r="C95" s="1" t="s">
        <v>124</v>
      </c>
      <c r="D95" s="1">
        <v>2.0</v>
      </c>
      <c r="E95" s="1">
        <v>12.0</v>
      </c>
      <c r="F95" s="1">
        <v>0.0</v>
      </c>
      <c r="G95" s="1">
        <v>0.0</v>
      </c>
    </row>
    <row r="96">
      <c r="A96" s="1" t="s">
        <v>125</v>
      </c>
      <c r="B96" s="1">
        <v>2012.0</v>
      </c>
      <c r="C96" s="1" t="s">
        <v>100</v>
      </c>
      <c r="D96" s="1">
        <v>4.0</v>
      </c>
      <c r="E96" s="1">
        <v>2.0</v>
      </c>
      <c r="F96" s="1">
        <v>0.0</v>
      </c>
      <c r="G96" s="1">
        <v>1.0</v>
      </c>
    </row>
    <row r="97">
      <c r="A97" s="1" t="s">
        <v>113</v>
      </c>
      <c r="B97" s="1">
        <v>2012.0</v>
      </c>
      <c r="C97" s="1" t="s">
        <v>32</v>
      </c>
      <c r="D97" s="1">
        <v>3.0</v>
      </c>
      <c r="E97" s="1">
        <v>3.0</v>
      </c>
      <c r="F97" s="1">
        <v>0.0</v>
      </c>
      <c r="G97" s="1">
        <v>0.0</v>
      </c>
    </row>
    <row r="98">
      <c r="A98" s="1" t="s">
        <v>71</v>
      </c>
      <c r="B98" s="1">
        <v>2013.0</v>
      </c>
      <c r="C98" s="1" t="s">
        <v>126</v>
      </c>
      <c r="D98" s="1">
        <v>5.0</v>
      </c>
      <c r="E98" s="1">
        <v>9.0</v>
      </c>
      <c r="F98" s="1">
        <v>0.0</v>
      </c>
      <c r="G98" s="1">
        <v>0.0</v>
      </c>
    </row>
    <row r="99">
      <c r="A99" s="1" t="s">
        <v>89</v>
      </c>
      <c r="B99" s="1">
        <v>2013.0</v>
      </c>
      <c r="C99" s="1" t="s">
        <v>81</v>
      </c>
      <c r="D99" s="1">
        <v>3.0</v>
      </c>
      <c r="E99" s="1">
        <v>5.0</v>
      </c>
      <c r="F99" s="1">
        <v>0.0</v>
      </c>
      <c r="G99" s="1">
        <v>0.0</v>
      </c>
    </row>
    <row r="100">
      <c r="A100" s="1" t="s">
        <v>92</v>
      </c>
      <c r="B100" s="1">
        <v>2013.0</v>
      </c>
      <c r="C100" s="1" t="s">
        <v>93</v>
      </c>
      <c r="D100" s="1">
        <v>10.0</v>
      </c>
      <c r="E100" s="1">
        <v>4.0</v>
      </c>
      <c r="F100" s="1">
        <v>1.0</v>
      </c>
      <c r="G100" s="1">
        <v>1.0</v>
      </c>
    </row>
    <row r="101">
      <c r="A101" s="1" t="s">
        <v>94</v>
      </c>
      <c r="B101" s="1">
        <v>2013.0</v>
      </c>
      <c r="C101" s="1" t="s">
        <v>81</v>
      </c>
      <c r="D101" s="1">
        <v>1.0</v>
      </c>
      <c r="E101" s="1">
        <v>5.0</v>
      </c>
      <c r="F101" s="1">
        <v>0.0</v>
      </c>
      <c r="G101" s="1">
        <v>0.0</v>
      </c>
    </row>
    <row r="102">
      <c r="A102" s="1" t="s">
        <v>127</v>
      </c>
      <c r="B102" s="1">
        <v>2013.0</v>
      </c>
      <c r="C102" s="1" t="s">
        <v>98</v>
      </c>
      <c r="D102" s="1">
        <v>1.0</v>
      </c>
      <c r="E102" s="1">
        <v>13.0</v>
      </c>
      <c r="F102" s="1">
        <v>0.0</v>
      </c>
      <c r="G102" s="1">
        <v>0.0</v>
      </c>
    </row>
    <row r="103">
      <c r="A103" s="1" t="s">
        <v>79</v>
      </c>
      <c r="B103" s="1">
        <v>2013.0</v>
      </c>
      <c r="C103" s="1" t="s">
        <v>80</v>
      </c>
      <c r="D103" s="1">
        <v>9.0</v>
      </c>
      <c r="E103" s="1">
        <v>5.0</v>
      </c>
      <c r="F103" s="1">
        <v>0.0</v>
      </c>
      <c r="G103" s="1">
        <v>0.0</v>
      </c>
    </row>
    <row r="104">
      <c r="A104" s="1" t="s">
        <v>38</v>
      </c>
      <c r="B104" s="1">
        <v>2013.0</v>
      </c>
      <c r="C104" s="1" t="s">
        <v>51</v>
      </c>
      <c r="D104" s="1">
        <v>9.0</v>
      </c>
      <c r="E104" s="1">
        <v>5.0</v>
      </c>
      <c r="F104" s="1">
        <v>0.0</v>
      </c>
      <c r="G104" s="1">
        <v>1.0</v>
      </c>
    </row>
    <row r="105">
      <c r="A105" s="1" t="s">
        <v>47</v>
      </c>
      <c r="B105" s="1">
        <v>2013.0</v>
      </c>
      <c r="C105" s="1" t="s">
        <v>48</v>
      </c>
      <c r="D105" s="1">
        <v>10.0</v>
      </c>
      <c r="E105" s="1">
        <v>4.0</v>
      </c>
      <c r="F105" s="1">
        <v>2.0</v>
      </c>
      <c r="G105" s="1">
        <v>0.0</v>
      </c>
    </row>
    <row r="106">
      <c r="A106" s="1" t="s">
        <v>84</v>
      </c>
      <c r="B106" s="1">
        <v>2013.0</v>
      </c>
      <c r="C106" s="1" t="s">
        <v>85</v>
      </c>
      <c r="D106" s="1">
        <v>6.0</v>
      </c>
      <c r="E106" s="1">
        <v>8.0</v>
      </c>
      <c r="F106" s="1">
        <v>0.0</v>
      </c>
      <c r="G106" s="1">
        <v>0.0</v>
      </c>
    </row>
    <row r="107">
      <c r="A107" s="1" t="s">
        <v>129</v>
      </c>
      <c r="B107" s="1">
        <v>2013.0</v>
      </c>
      <c r="C107" s="1" t="s">
        <v>119</v>
      </c>
      <c r="D107" s="1">
        <v>9.0</v>
      </c>
      <c r="E107" s="1">
        <v>5.0</v>
      </c>
      <c r="F107" s="1">
        <v>0.0</v>
      </c>
      <c r="G107" s="1">
        <v>1.0</v>
      </c>
    </row>
    <row r="108">
      <c r="A108" s="1" t="s">
        <v>89</v>
      </c>
      <c r="B108" s="1">
        <v>2014.0</v>
      </c>
      <c r="C108" s="1" t="s">
        <v>81</v>
      </c>
      <c r="D108" s="1">
        <v>0.0</v>
      </c>
      <c r="E108" s="1">
        <v>6.0</v>
      </c>
      <c r="F108" s="1">
        <v>0.0</v>
      </c>
      <c r="G108" s="1">
        <v>0.0</v>
      </c>
    </row>
    <row r="109">
      <c r="A109" s="1" t="s">
        <v>92</v>
      </c>
      <c r="B109" s="1">
        <v>2014.0</v>
      </c>
      <c r="C109" s="1" t="s">
        <v>93</v>
      </c>
      <c r="D109" s="1">
        <v>10.0</v>
      </c>
      <c r="E109" s="1">
        <v>4.0</v>
      </c>
      <c r="F109" s="1">
        <v>1.0</v>
      </c>
      <c r="G109" s="1">
        <v>1.0</v>
      </c>
    </row>
    <row r="110">
      <c r="A110" s="1" t="s">
        <v>94</v>
      </c>
      <c r="B110" s="1">
        <v>2014.0</v>
      </c>
      <c r="C110" s="1" t="s">
        <v>132</v>
      </c>
      <c r="D110" s="1">
        <v>5.0</v>
      </c>
      <c r="E110" s="1">
        <v>9.0</v>
      </c>
      <c r="F110" s="1">
        <v>0.0</v>
      </c>
      <c r="G110" s="1">
        <v>0.0</v>
      </c>
    </row>
    <row r="111">
      <c r="A111" s="1" t="s">
        <v>127</v>
      </c>
      <c r="B111" s="1">
        <v>2014.0</v>
      </c>
      <c r="C111" s="1" t="s">
        <v>98</v>
      </c>
      <c r="D111" s="1">
        <v>1.0</v>
      </c>
      <c r="E111" s="1">
        <v>13.0</v>
      </c>
      <c r="F111" s="1">
        <v>0.0</v>
      </c>
      <c r="G111" s="1">
        <v>0.0</v>
      </c>
    </row>
    <row r="112">
      <c r="A112" s="1" t="s">
        <v>38</v>
      </c>
      <c r="B112" s="1">
        <v>2014.0</v>
      </c>
      <c r="C112" s="1" t="s">
        <v>51</v>
      </c>
      <c r="D112" s="1">
        <v>10.0</v>
      </c>
      <c r="E112" s="1">
        <v>4.0</v>
      </c>
      <c r="F112" s="1">
        <v>0.0</v>
      </c>
      <c r="G112" s="1">
        <v>1.0</v>
      </c>
    </row>
    <row r="113">
      <c r="A113" s="1" t="s">
        <v>47</v>
      </c>
      <c r="B113" s="1">
        <v>2014.0</v>
      </c>
      <c r="C113" s="1" t="s">
        <v>48</v>
      </c>
      <c r="D113" s="1">
        <v>13.0</v>
      </c>
      <c r="E113" s="1">
        <v>1.0</v>
      </c>
      <c r="F113" s="1">
        <v>2.0</v>
      </c>
      <c r="G113" s="1">
        <v>0.0</v>
      </c>
    </row>
    <row r="114">
      <c r="A114" s="1" t="s">
        <v>84</v>
      </c>
      <c r="B114" s="1">
        <v>2014.0</v>
      </c>
      <c r="C114" s="1" t="s">
        <v>85</v>
      </c>
      <c r="D114" s="1">
        <v>8.0</v>
      </c>
      <c r="E114" s="1">
        <v>6.0</v>
      </c>
      <c r="F114" s="1">
        <v>0.0</v>
      </c>
      <c r="G114" s="1">
        <v>0.0</v>
      </c>
    </row>
    <row r="115">
      <c r="A115" s="1" t="s">
        <v>129</v>
      </c>
      <c r="B115" s="1">
        <v>2014.0</v>
      </c>
      <c r="C115" s="1" t="s">
        <v>119</v>
      </c>
      <c r="D115" s="1">
        <v>11.0</v>
      </c>
      <c r="E115" s="1">
        <v>3.0</v>
      </c>
      <c r="F115" s="1">
        <v>0.0</v>
      </c>
      <c r="G115" s="1">
        <v>1.0</v>
      </c>
    </row>
    <row r="116">
      <c r="A116" s="1" t="s">
        <v>86</v>
      </c>
      <c r="B116" s="1">
        <v>2014.0</v>
      </c>
      <c r="C116" s="1" t="s">
        <v>81</v>
      </c>
      <c r="D116" s="1">
        <v>2.0</v>
      </c>
      <c r="E116" s="1">
        <v>6.0</v>
      </c>
      <c r="F116" s="1">
        <v>0.0</v>
      </c>
      <c r="G116" s="1">
        <v>0.0</v>
      </c>
    </row>
    <row r="117">
      <c r="A117" s="1" t="s">
        <v>55</v>
      </c>
      <c r="B117" s="1">
        <v>2014.0</v>
      </c>
      <c r="C117" s="1" t="s">
        <v>126</v>
      </c>
      <c r="D117" s="1">
        <v>3.0</v>
      </c>
      <c r="E117" s="1">
        <v>11.0</v>
      </c>
      <c r="F117" s="1">
        <v>0.0</v>
      </c>
      <c r="G117" s="1">
        <v>0.0</v>
      </c>
    </row>
    <row r="118">
      <c r="A118" s="1" t="s">
        <v>133</v>
      </c>
      <c r="B118" s="1">
        <v>2015.0</v>
      </c>
      <c r="C118" s="1" t="s">
        <v>134</v>
      </c>
      <c r="D118" s="1">
        <v>6.0</v>
      </c>
      <c r="E118" s="1">
        <v>8.0</v>
      </c>
      <c r="F118" s="1">
        <v>0.0</v>
      </c>
      <c r="G118" s="1">
        <v>0.0</v>
      </c>
    </row>
    <row r="119">
      <c r="A119" s="1" t="s">
        <v>92</v>
      </c>
      <c r="B119" s="1">
        <v>2015.0</v>
      </c>
      <c r="C119" s="1" t="s">
        <v>93</v>
      </c>
      <c r="D119" s="1">
        <v>10.0</v>
      </c>
      <c r="E119" s="1">
        <v>4.0</v>
      </c>
      <c r="F119" s="1">
        <v>1.0</v>
      </c>
      <c r="G119" s="1">
        <v>1.0</v>
      </c>
    </row>
    <row r="120">
      <c r="A120" s="1" t="s">
        <v>135</v>
      </c>
      <c r="B120" s="1">
        <v>2015.0</v>
      </c>
      <c r="C120" s="1" t="s">
        <v>39</v>
      </c>
      <c r="D120" s="1">
        <v>5.0</v>
      </c>
      <c r="E120" s="1">
        <v>9.0</v>
      </c>
      <c r="F120" s="1">
        <v>0.0</v>
      </c>
      <c r="G120" s="1">
        <v>0.0</v>
      </c>
    </row>
    <row r="121">
      <c r="A121" s="1" t="s">
        <v>31</v>
      </c>
      <c r="B121" s="1">
        <v>2015.0</v>
      </c>
      <c r="C121" s="1" t="s">
        <v>137</v>
      </c>
      <c r="D121" s="1">
        <v>4.0</v>
      </c>
      <c r="E121" s="1">
        <v>10.0</v>
      </c>
      <c r="F121" s="1">
        <v>0.0</v>
      </c>
      <c r="G121" s="1">
        <v>0.0</v>
      </c>
    </row>
    <row r="122">
      <c r="A122" s="1" t="s">
        <v>38</v>
      </c>
      <c r="B122" s="1">
        <v>2015.0</v>
      </c>
      <c r="C122" s="1" t="s">
        <v>51</v>
      </c>
      <c r="D122" s="1">
        <v>6.0</v>
      </c>
      <c r="E122" s="1">
        <v>8.0</v>
      </c>
      <c r="F122" s="1">
        <v>0.0</v>
      </c>
      <c r="G122" s="1">
        <v>0.0</v>
      </c>
    </row>
    <row r="123">
      <c r="A123" s="1" t="s">
        <v>138</v>
      </c>
      <c r="B123" s="1">
        <v>2015.0</v>
      </c>
      <c r="C123" s="1" t="s">
        <v>132</v>
      </c>
      <c r="D123" s="1">
        <v>0.0</v>
      </c>
      <c r="E123" s="1">
        <v>4.0</v>
      </c>
      <c r="F123" s="1">
        <v>0.0</v>
      </c>
      <c r="G123" s="1">
        <v>0.0</v>
      </c>
    </row>
    <row r="124">
      <c r="A124" s="1" t="s">
        <v>47</v>
      </c>
      <c r="B124" s="1">
        <v>2015.0</v>
      </c>
      <c r="C124" s="1" t="s">
        <v>48</v>
      </c>
      <c r="D124" s="1">
        <v>14.0</v>
      </c>
      <c r="E124" s="1">
        <v>0.0</v>
      </c>
      <c r="F124" s="1">
        <v>2.0</v>
      </c>
      <c r="G124" s="1">
        <v>0.0</v>
      </c>
    </row>
    <row r="125">
      <c r="A125" s="1" t="s">
        <v>84</v>
      </c>
      <c r="B125" s="1">
        <v>2015.0</v>
      </c>
      <c r="C125" s="1" t="s">
        <v>85</v>
      </c>
      <c r="D125" s="1">
        <v>8.0</v>
      </c>
      <c r="E125" s="1">
        <v>6.0</v>
      </c>
      <c r="F125" s="1">
        <v>0.0</v>
      </c>
      <c r="G125" s="1">
        <v>1.0</v>
      </c>
    </row>
    <row r="126">
      <c r="A126" s="1" t="s">
        <v>129</v>
      </c>
      <c r="B126" s="1">
        <v>2015.0</v>
      </c>
      <c r="C126" s="1" t="s">
        <v>119</v>
      </c>
      <c r="D126" s="1">
        <v>9.0</v>
      </c>
      <c r="E126" s="1">
        <v>5.0</v>
      </c>
      <c r="F126" s="1">
        <v>0.0</v>
      </c>
      <c r="G126" s="1">
        <v>1.0</v>
      </c>
    </row>
    <row r="127">
      <c r="A127" s="1" t="s">
        <v>86</v>
      </c>
      <c r="B127" s="1">
        <v>2015.0</v>
      </c>
      <c r="C127" s="1" t="s">
        <v>81</v>
      </c>
      <c r="D127" s="1">
        <v>6.0</v>
      </c>
      <c r="E127" s="1">
        <v>8.0</v>
      </c>
      <c r="F127" s="1">
        <v>0.0</v>
      </c>
      <c r="G127" s="1">
        <v>0.0</v>
      </c>
    </row>
    <row r="128">
      <c r="A128" s="1" t="s">
        <v>125</v>
      </c>
      <c r="B128" s="1">
        <v>2015.0</v>
      </c>
      <c r="C128" s="1" t="s">
        <v>132</v>
      </c>
      <c r="D128" s="1">
        <v>2.0</v>
      </c>
      <c r="E128" s="1">
        <v>8.0</v>
      </c>
      <c r="F128" s="1">
        <v>0.0</v>
      </c>
      <c r="G128" s="1">
        <v>0.0</v>
      </c>
    </row>
    <row r="129">
      <c r="A129" s="1" t="s">
        <v>71</v>
      </c>
      <c r="B129" s="1">
        <v>2016.0</v>
      </c>
      <c r="C129" s="1" t="s">
        <v>137</v>
      </c>
      <c r="D129" s="1">
        <v>11.0</v>
      </c>
      <c r="E129" s="1">
        <v>5.0</v>
      </c>
      <c r="F129" s="1">
        <v>0.0</v>
      </c>
      <c r="G129" s="1">
        <v>1.0</v>
      </c>
    </row>
    <row r="130">
      <c r="A130" s="1" t="s">
        <v>133</v>
      </c>
      <c r="B130" s="1">
        <v>2016.0</v>
      </c>
      <c r="C130" s="1" t="s">
        <v>134</v>
      </c>
      <c r="D130" s="1">
        <v>4.0</v>
      </c>
      <c r="E130" s="1">
        <v>12.0</v>
      </c>
      <c r="F130" s="1">
        <v>0.0</v>
      </c>
      <c r="G130" s="1">
        <v>0.0</v>
      </c>
    </row>
    <row r="131">
      <c r="A131" s="1" t="s">
        <v>92</v>
      </c>
      <c r="B131" s="1">
        <v>2016.0</v>
      </c>
      <c r="C131" s="1" t="s">
        <v>93</v>
      </c>
      <c r="D131" s="1">
        <v>6.0</v>
      </c>
      <c r="E131" s="1">
        <v>10.0</v>
      </c>
      <c r="F131" s="1">
        <v>1.0</v>
      </c>
      <c r="G131" s="1">
        <v>1.0</v>
      </c>
    </row>
    <row r="132">
      <c r="A132" s="1" t="s">
        <v>135</v>
      </c>
      <c r="B132" s="1">
        <v>2016.0</v>
      </c>
      <c r="C132" s="1" t="s">
        <v>39</v>
      </c>
      <c r="D132" s="1">
        <v>8.0</v>
      </c>
      <c r="E132" s="1">
        <v>8.0</v>
      </c>
      <c r="F132" s="1">
        <v>0.0</v>
      </c>
      <c r="G132" s="1">
        <v>1.0</v>
      </c>
    </row>
    <row r="133">
      <c r="A133" s="1" t="s">
        <v>127</v>
      </c>
      <c r="B133" s="1">
        <v>2016.0</v>
      </c>
      <c r="C133" s="1" t="s">
        <v>85</v>
      </c>
      <c r="D133" s="1">
        <v>3.0</v>
      </c>
      <c r="E133" s="1">
        <v>13.0</v>
      </c>
      <c r="F133" s="1">
        <v>0.0</v>
      </c>
      <c r="G133" s="1">
        <v>0.0</v>
      </c>
    </row>
    <row r="134">
      <c r="A134" s="1" t="s">
        <v>38</v>
      </c>
      <c r="B134" s="1">
        <v>2016.0</v>
      </c>
      <c r="C134" s="1" t="s">
        <v>51</v>
      </c>
      <c r="D134" s="1">
        <v>4.0</v>
      </c>
      <c r="E134" s="1">
        <v>12.0</v>
      </c>
      <c r="F134" s="1">
        <v>0.0</v>
      </c>
      <c r="G134" s="1">
        <v>0.0</v>
      </c>
    </row>
    <row r="135">
      <c r="A135" s="1" t="s">
        <v>47</v>
      </c>
      <c r="B135" s="1">
        <v>2016.0</v>
      </c>
      <c r="C135" s="1" t="s">
        <v>48</v>
      </c>
      <c r="D135" s="1">
        <v>15.0</v>
      </c>
      <c r="E135" s="1">
        <v>1.0</v>
      </c>
      <c r="F135" s="1">
        <v>2.0</v>
      </c>
      <c r="G135" s="1">
        <v>0.0</v>
      </c>
    </row>
    <row r="136">
      <c r="A136" s="1" t="s">
        <v>84</v>
      </c>
      <c r="B136" s="1">
        <v>2016.0</v>
      </c>
      <c r="C136" s="1" t="s">
        <v>140</v>
      </c>
      <c r="D136" s="1">
        <v>12.0</v>
      </c>
      <c r="E136" s="1">
        <v>4.0</v>
      </c>
      <c r="F136" s="1">
        <v>1.0</v>
      </c>
      <c r="G136" s="1">
        <v>1.0</v>
      </c>
    </row>
    <row r="137">
      <c r="A137" s="1" t="s">
        <v>129</v>
      </c>
      <c r="B137" s="1">
        <v>2016.0</v>
      </c>
      <c r="C137" s="1" t="s">
        <v>119</v>
      </c>
      <c r="D137" s="1">
        <v>12.0</v>
      </c>
      <c r="E137" s="1">
        <v>4.0</v>
      </c>
      <c r="F137" s="1">
        <v>1.0</v>
      </c>
      <c r="G137" s="1">
        <v>1.0</v>
      </c>
    </row>
    <row r="138">
      <c r="A138" s="1" t="s">
        <v>55</v>
      </c>
      <c r="B138" s="1">
        <v>2016.0</v>
      </c>
      <c r="C138" s="1" t="s">
        <v>81</v>
      </c>
      <c r="D138" s="1">
        <v>5.0</v>
      </c>
      <c r="E138" s="1">
        <v>11.0</v>
      </c>
      <c r="F138" s="1">
        <v>0.0</v>
      </c>
      <c r="G138" s="1">
        <v>0.0</v>
      </c>
    </row>
    <row r="139">
      <c r="A139" s="1" t="s">
        <v>71</v>
      </c>
      <c r="B139" s="1">
        <v>2017.0</v>
      </c>
      <c r="C139" s="1" t="s">
        <v>137</v>
      </c>
      <c r="D139" s="1">
        <v>12.0</v>
      </c>
      <c r="E139" s="1">
        <v>4.0</v>
      </c>
      <c r="F139" s="1">
        <v>0.0</v>
      </c>
      <c r="G139" s="1">
        <v>0.0</v>
      </c>
    </row>
    <row r="140">
      <c r="A140" s="1" t="s">
        <v>142</v>
      </c>
      <c r="B140" s="1">
        <v>2017.0</v>
      </c>
      <c r="C140" s="1" t="s">
        <v>93</v>
      </c>
      <c r="D140" s="1">
        <v>9.0</v>
      </c>
      <c r="E140" s="1">
        <v>7.0</v>
      </c>
      <c r="F140" s="1">
        <v>0.0</v>
      </c>
      <c r="G140" s="1">
        <v>1.0</v>
      </c>
    </row>
    <row r="141">
      <c r="A141" s="1" t="s">
        <v>143</v>
      </c>
      <c r="B141" s="1">
        <v>2017.0</v>
      </c>
      <c r="C141" s="1" t="s">
        <v>103</v>
      </c>
      <c r="D141" s="1">
        <v>12.0</v>
      </c>
      <c r="E141" s="1">
        <v>4.0</v>
      </c>
      <c r="F141" s="1">
        <v>2.0</v>
      </c>
      <c r="G141" s="1">
        <v>0.0</v>
      </c>
    </row>
    <row r="142">
      <c r="A142" s="1" t="s">
        <v>144</v>
      </c>
      <c r="B142" s="1">
        <v>2017.0</v>
      </c>
      <c r="C142" s="1" t="s">
        <v>51</v>
      </c>
      <c r="D142" s="1">
        <v>2.0</v>
      </c>
      <c r="E142" s="1">
        <v>6.0</v>
      </c>
      <c r="F142" s="1">
        <v>0.0</v>
      </c>
      <c r="G142" s="1">
        <v>0.0</v>
      </c>
    </row>
    <row r="143">
      <c r="A143" s="1" t="s">
        <v>145</v>
      </c>
      <c r="B143" s="1">
        <v>2017.0</v>
      </c>
      <c r="C143" s="1" t="s">
        <v>51</v>
      </c>
      <c r="D143" s="1">
        <v>1.0</v>
      </c>
      <c r="E143" s="1">
        <v>7.0</v>
      </c>
      <c r="F143" s="1">
        <v>0.0</v>
      </c>
      <c r="G143" s="1">
        <v>0.0</v>
      </c>
    </row>
    <row r="144">
      <c r="A144" s="1" t="s">
        <v>78</v>
      </c>
      <c r="B144" s="1">
        <v>2017.0</v>
      </c>
      <c r="C144" s="1" t="s">
        <v>147</v>
      </c>
      <c r="D144" s="1">
        <v>1.0</v>
      </c>
      <c r="E144" s="1">
        <v>1.0</v>
      </c>
      <c r="F144" s="1">
        <v>0.0</v>
      </c>
      <c r="G144" s="1">
        <v>0.0</v>
      </c>
    </row>
    <row r="145">
      <c r="A145" s="1" t="s">
        <v>148</v>
      </c>
      <c r="B145" s="1">
        <v>2017.0</v>
      </c>
      <c r="C145" s="1" t="s">
        <v>119</v>
      </c>
      <c r="D145" s="1">
        <v>1.0</v>
      </c>
      <c r="E145" s="1">
        <v>15.0</v>
      </c>
      <c r="F145" s="1">
        <v>0.0</v>
      </c>
      <c r="G145" s="1">
        <v>0.0</v>
      </c>
    </row>
    <row r="146">
      <c r="A146" s="1" t="s">
        <v>47</v>
      </c>
      <c r="B146" s="1">
        <v>2017.0</v>
      </c>
      <c r="C146" s="1" t="s">
        <v>48</v>
      </c>
      <c r="D146" s="1">
        <v>14.0</v>
      </c>
      <c r="E146" s="1">
        <v>2.0</v>
      </c>
      <c r="F146" s="1">
        <v>1.0</v>
      </c>
      <c r="G146" s="1">
        <v>1.0</v>
      </c>
    </row>
    <row r="147">
      <c r="A147" s="1" t="s">
        <v>149</v>
      </c>
      <c r="B147" s="1">
        <v>2017.0</v>
      </c>
      <c r="C147" s="1" t="s">
        <v>147</v>
      </c>
      <c r="D147" s="1">
        <v>3.0</v>
      </c>
      <c r="E147" s="1">
        <v>7.0</v>
      </c>
      <c r="F147" s="1">
        <v>0.0</v>
      </c>
      <c r="G147" s="1">
        <v>0.0</v>
      </c>
    </row>
    <row r="148">
      <c r="A148" s="1" t="s">
        <v>84</v>
      </c>
      <c r="B148" s="1">
        <v>2017.0</v>
      </c>
      <c r="C148" s="1" t="s">
        <v>140</v>
      </c>
      <c r="D148" s="1">
        <v>8.0</v>
      </c>
      <c r="E148" s="1">
        <v>8.0</v>
      </c>
      <c r="F148" s="1">
        <v>0.0</v>
      </c>
      <c r="G148" s="1">
        <v>0.0</v>
      </c>
    </row>
    <row r="149">
      <c r="A149" s="1" t="s">
        <v>55</v>
      </c>
      <c r="B149" s="1">
        <v>2017.0</v>
      </c>
      <c r="C149" s="1" t="s">
        <v>81</v>
      </c>
      <c r="D149" s="1">
        <v>3.0</v>
      </c>
      <c r="E149" s="1">
        <v>13.0</v>
      </c>
      <c r="F149" s="1">
        <v>0.0</v>
      </c>
      <c r="G149" s="1">
        <v>0.0</v>
      </c>
    </row>
    <row r="150">
      <c r="A150" s="1" t="s">
        <v>125</v>
      </c>
      <c r="B150" s="1">
        <v>2017.0</v>
      </c>
      <c r="C150" s="1" t="s">
        <v>134</v>
      </c>
      <c r="D150" s="1">
        <v>13.0</v>
      </c>
      <c r="E150" s="1">
        <v>3.0</v>
      </c>
      <c r="F150" s="1">
        <v>0.0</v>
      </c>
      <c r="G150" s="1">
        <v>1.0</v>
      </c>
    </row>
    <row r="151">
      <c r="A151" s="1" t="s">
        <v>143</v>
      </c>
      <c r="B151" s="1">
        <v>2018.0</v>
      </c>
      <c r="C151" s="1" t="s">
        <v>103</v>
      </c>
      <c r="D151" s="1">
        <v>11.0</v>
      </c>
      <c r="E151" s="1">
        <v>3.0</v>
      </c>
      <c r="F151" s="1">
        <v>0.0</v>
      </c>
      <c r="G151" s="1">
        <v>1.0</v>
      </c>
    </row>
    <row r="152">
      <c r="A152" s="1" t="s">
        <v>145</v>
      </c>
      <c r="B152" s="1">
        <v>2018.0</v>
      </c>
      <c r="C152" s="1" t="s">
        <v>119</v>
      </c>
      <c r="D152" s="1">
        <v>3.0</v>
      </c>
      <c r="E152" s="1">
        <v>11.0</v>
      </c>
      <c r="F152" s="1">
        <v>0.0</v>
      </c>
      <c r="G152" s="1">
        <v>0.0</v>
      </c>
    </row>
    <row r="153">
      <c r="A153" s="1" t="s">
        <v>47</v>
      </c>
      <c r="B153" s="1">
        <v>2018.0</v>
      </c>
      <c r="C153" s="1" t="s">
        <v>48</v>
      </c>
      <c r="D153" s="1">
        <v>11.0</v>
      </c>
      <c r="E153" s="1">
        <v>3.0</v>
      </c>
      <c r="F153" s="1">
        <v>1.0</v>
      </c>
      <c r="G153" s="1">
        <v>1.0</v>
      </c>
    </row>
    <row r="154">
      <c r="A154" s="1" t="s">
        <v>129</v>
      </c>
      <c r="B154" s="1">
        <v>2018.0</v>
      </c>
      <c r="C154" s="1" t="s">
        <v>93</v>
      </c>
      <c r="D154" s="1">
        <v>4.0</v>
      </c>
      <c r="E154" s="1">
        <v>10.0</v>
      </c>
      <c r="F154" s="1">
        <v>0.0</v>
      </c>
      <c r="G154" s="1">
        <v>1.0</v>
      </c>
    </row>
    <row r="155">
      <c r="A155" s="1" t="s">
        <v>55</v>
      </c>
      <c r="B155" s="1">
        <v>2018.0</v>
      </c>
      <c r="C155" s="1" t="s">
        <v>81</v>
      </c>
      <c r="D155" s="1">
        <v>2.0</v>
      </c>
      <c r="E155" s="1">
        <v>12.0</v>
      </c>
      <c r="F155" s="1">
        <v>0.0</v>
      </c>
      <c r="G155" s="1">
        <v>0.0</v>
      </c>
    </row>
    <row r="156">
      <c r="A156" s="1" t="s">
        <v>125</v>
      </c>
      <c r="B156" s="1">
        <v>2018.0</v>
      </c>
      <c r="C156" s="1" t="s">
        <v>134</v>
      </c>
      <c r="D156" s="1">
        <v>11.0</v>
      </c>
      <c r="E156" s="1">
        <v>3.0</v>
      </c>
      <c r="F156" s="1">
        <v>2.0</v>
      </c>
      <c r="G156" s="1">
        <v>0.0</v>
      </c>
    </row>
    <row r="157">
      <c r="A157" s="1" t="s">
        <v>150</v>
      </c>
      <c r="B157" s="1">
        <v>2019.0</v>
      </c>
      <c r="C157" s="1" t="s">
        <v>93</v>
      </c>
      <c r="D157" s="1">
        <v>7.0</v>
      </c>
      <c r="E157" s="1">
        <v>7.0</v>
      </c>
      <c r="F157" s="1">
        <v>1.0</v>
      </c>
      <c r="G157" s="1">
        <v>1.0</v>
      </c>
    </row>
    <row r="158">
      <c r="A158" s="1" t="s">
        <v>151</v>
      </c>
      <c r="B158" s="1">
        <v>2019.0</v>
      </c>
      <c r="C158" s="1" t="s">
        <v>72</v>
      </c>
      <c r="D158" s="1">
        <v>7.0</v>
      </c>
      <c r="E158" s="1">
        <v>7.0</v>
      </c>
      <c r="F158" s="1">
        <v>0.0</v>
      </c>
      <c r="G158" s="1">
        <v>1.0</v>
      </c>
    </row>
    <row r="159">
      <c r="A159" s="1" t="s">
        <v>152</v>
      </c>
      <c r="B159" s="1">
        <v>2019.0</v>
      </c>
      <c r="C159" s="1" t="s">
        <v>153</v>
      </c>
      <c r="D159" s="1">
        <v>1.0</v>
      </c>
      <c r="E159" s="1">
        <v>13.0</v>
      </c>
      <c r="F159" s="1">
        <v>0.0</v>
      </c>
      <c r="G159" s="1">
        <v>0.0</v>
      </c>
    </row>
    <row r="160">
      <c r="A160" s="1" t="s">
        <v>143</v>
      </c>
      <c r="B160" s="1">
        <v>2019.0</v>
      </c>
      <c r="C160" s="1" t="s">
        <v>103</v>
      </c>
      <c r="D160" s="1">
        <v>14.0</v>
      </c>
      <c r="E160" s="1">
        <v>0.0</v>
      </c>
      <c r="F160" s="1">
        <v>1.0</v>
      </c>
      <c r="G160" s="1">
        <v>1.0</v>
      </c>
    </row>
    <row r="161">
      <c r="A161" s="1" t="s">
        <v>154</v>
      </c>
      <c r="B161" s="1">
        <v>2019.0</v>
      </c>
      <c r="C161" s="1" t="s">
        <v>155</v>
      </c>
      <c r="D161" s="1">
        <v>2.0</v>
      </c>
      <c r="E161" s="1">
        <v>12.0</v>
      </c>
      <c r="F161" s="1">
        <v>0.0</v>
      </c>
      <c r="G161" s="1">
        <v>0.0</v>
      </c>
    </row>
    <row r="162">
      <c r="A162" s="1" t="s">
        <v>47</v>
      </c>
      <c r="B162" s="1">
        <v>2019.0</v>
      </c>
      <c r="C162" s="1" t="s">
        <v>48</v>
      </c>
      <c r="D162" s="1">
        <v>11.0</v>
      </c>
      <c r="E162" s="1">
        <v>3.0</v>
      </c>
      <c r="F162" s="1">
        <v>3.0</v>
      </c>
      <c r="G162" s="1">
        <v>0.0</v>
      </c>
    </row>
    <row r="163">
      <c r="A163" s="1" t="s">
        <v>157</v>
      </c>
      <c r="B163" s="1">
        <v>2019.0</v>
      </c>
      <c r="C163" s="1" t="s">
        <v>81</v>
      </c>
      <c r="D163" s="1">
        <v>9.0</v>
      </c>
      <c r="E163" s="1">
        <v>5.0</v>
      </c>
      <c r="F163" s="1">
        <v>0.0</v>
      </c>
      <c r="G163" s="1">
        <v>1.0</v>
      </c>
    </row>
    <row r="164">
      <c r="A164" s="1" t="s">
        <v>158</v>
      </c>
      <c r="B164" s="1">
        <v>2019.0</v>
      </c>
      <c r="C164" s="1" t="s">
        <v>159</v>
      </c>
      <c r="D164" s="1">
        <v>6.0</v>
      </c>
      <c r="E164" s="1">
        <v>8.0</v>
      </c>
      <c r="F164" s="1">
        <v>0.0</v>
      </c>
      <c r="G164" s="1">
        <v>0.0</v>
      </c>
    </row>
    <row r="165">
      <c r="A165" s="1" t="s">
        <v>129</v>
      </c>
      <c r="B165" s="1">
        <v>2019.0</v>
      </c>
      <c r="C165" s="1" t="s">
        <v>119</v>
      </c>
      <c r="D165" s="1">
        <v>1.0</v>
      </c>
      <c r="E165" s="1">
        <v>13.0</v>
      </c>
      <c r="F165" s="1">
        <v>0.0</v>
      </c>
      <c r="G165" s="1">
        <v>0.0</v>
      </c>
    </row>
    <row r="166">
      <c r="A166" s="1" t="s">
        <v>125</v>
      </c>
      <c r="B166" s="1">
        <v>2019.0</v>
      </c>
      <c r="C166" s="1" t="s">
        <v>134</v>
      </c>
      <c r="D166" s="1">
        <v>12.0</v>
      </c>
      <c r="E166" s="1">
        <v>2.0</v>
      </c>
      <c r="F166" s="1">
        <v>0.0</v>
      </c>
      <c r="G166" s="1">
        <v>1.0</v>
      </c>
    </row>
    <row r="167">
      <c r="A167" s="1" t="s">
        <v>152</v>
      </c>
      <c r="B167" s="1">
        <v>2020.0</v>
      </c>
      <c r="C167" s="1" t="s">
        <v>153</v>
      </c>
      <c r="D167" s="1">
        <v>1.0</v>
      </c>
      <c r="E167" s="1">
        <v>0.0</v>
      </c>
      <c r="F167" s="1">
        <v>0.0</v>
      </c>
      <c r="G167" s="1">
        <v>0.0</v>
      </c>
    </row>
    <row r="168">
      <c r="A168" s="1" t="s">
        <v>143</v>
      </c>
      <c r="B168" s="1">
        <v>2020.0</v>
      </c>
      <c r="C168" s="1" t="s">
        <v>103</v>
      </c>
      <c r="D168" s="1">
        <v>0.0</v>
      </c>
      <c r="E168" s="1">
        <v>0.0</v>
      </c>
      <c r="F168" s="1">
        <v>0.0</v>
      </c>
      <c r="G168" s="1">
        <v>0.0</v>
      </c>
    </row>
    <row r="169">
      <c r="A169" s="1" t="s">
        <v>161</v>
      </c>
      <c r="B169" s="1">
        <v>2020.0</v>
      </c>
      <c r="C169" s="1" t="s">
        <v>119</v>
      </c>
      <c r="D169" s="1">
        <v>0.0</v>
      </c>
      <c r="E169" s="1">
        <v>1.0</v>
      </c>
      <c r="F169" s="1">
        <v>0.0</v>
      </c>
      <c r="G169" s="1">
        <v>0.0</v>
      </c>
    </row>
    <row r="170">
      <c r="A170" s="1" t="s">
        <v>154</v>
      </c>
      <c r="B170" s="1">
        <v>2020.0</v>
      </c>
      <c r="C170" s="1" t="s">
        <v>155</v>
      </c>
      <c r="D170" s="1">
        <v>0.0</v>
      </c>
      <c r="E170" s="1">
        <v>1.0</v>
      </c>
      <c r="F170" s="1">
        <v>0.0</v>
      </c>
      <c r="G170" s="1">
        <v>0.0</v>
      </c>
    </row>
    <row r="171">
      <c r="A171" s="1" t="s">
        <v>158</v>
      </c>
      <c r="B171" s="1">
        <v>2020.0</v>
      </c>
      <c r="C171" s="1" t="s">
        <v>159</v>
      </c>
      <c r="D171" s="1">
        <v>1.0</v>
      </c>
      <c r="E171" s="1">
        <v>0.0</v>
      </c>
      <c r="F171" s="1">
        <v>0.0</v>
      </c>
      <c r="G171" s="1">
        <v>0.0</v>
      </c>
    </row>
    <row r="172">
      <c r="A172" s="1" t="s">
        <v>71</v>
      </c>
      <c r="B172" s="1">
        <v>2021.0</v>
      </c>
      <c r="C172" s="1" t="s">
        <v>140</v>
      </c>
      <c r="D172" s="1">
        <v>6.0</v>
      </c>
      <c r="E172" s="1">
        <v>6.0</v>
      </c>
      <c r="F172" s="1">
        <v>0.0</v>
      </c>
      <c r="G172" s="1">
        <v>1.0</v>
      </c>
    </row>
    <row r="173">
      <c r="A173" s="1" t="s">
        <v>131</v>
      </c>
      <c r="B173" s="1">
        <v>2021.0</v>
      </c>
      <c r="C173" s="1" t="s">
        <v>162</v>
      </c>
      <c r="D173" s="1">
        <v>1.0</v>
      </c>
      <c r="E173" s="1">
        <v>6.0</v>
      </c>
      <c r="F173" s="1">
        <v>0.0</v>
      </c>
      <c r="G173" s="1">
        <v>0.0</v>
      </c>
    </row>
    <row r="174">
      <c r="A174" s="1" t="s">
        <v>163</v>
      </c>
      <c r="B174" s="1">
        <v>2021.0</v>
      </c>
      <c r="C174" s="1" t="s">
        <v>162</v>
      </c>
      <c r="D174" s="1">
        <v>0.0</v>
      </c>
      <c r="E174" s="1">
        <v>7.0</v>
      </c>
      <c r="F174" s="1">
        <v>0.0</v>
      </c>
      <c r="G174" s="1">
        <v>0.0</v>
      </c>
    </row>
    <row r="175">
      <c r="A175" s="1" t="s">
        <v>65</v>
      </c>
      <c r="B175" s="1">
        <v>2021.0</v>
      </c>
      <c r="C175" s="1" t="s">
        <v>164</v>
      </c>
      <c r="D175" s="1">
        <v>10.0</v>
      </c>
      <c r="E175" s="1">
        <v>3.0</v>
      </c>
      <c r="F175" s="1">
        <v>1.0</v>
      </c>
      <c r="G175" s="1">
        <v>1.0</v>
      </c>
    </row>
    <row r="176">
      <c r="A176" s="1" t="s">
        <v>143</v>
      </c>
      <c r="B176" s="1">
        <v>2021.0</v>
      </c>
      <c r="C176" s="1" t="s">
        <v>103</v>
      </c>
      <c r="D176" s="1">
        <v>12.0</v>
      </c>
      <c r="E176" s="1">
        <v>2.0</v>
      </c>
      <c r="F176" s="1">
        <v>2.0</v>
      </c>
      <c r="G176" s="1">
        <v>1.0</v>
      </c>
    </row>
    <row r="177">
      <c r="A177" s="1" t="s">
        <v>165</v>
      </c>
      <c r="B177" s="1">
        <v>2021.0</v>
      </c>
      <c r="C177" s="1" t="s">
        <v>166</v>
      </c>
      <c r="D177" s="1">
        <v>5.0</v>
      </c>
      <c r="E177" s="1">
        <v>3.0</v>
      </c>
      <c r="F177" s="1">
        <v>1.0</v>
      </c>
      <c r="G177" s="1">
        <v>1.0</v>
      </c>
    </row>
    <row r="178">
      <c r="A178" s="1" t="s">
        <v>154</v>
      </c>
      <c r="B178" s="1">
        <v>2021.0</v>
      </c>
      <c r="C178" s="1" t="s">
        <v>155</v>
      </c>
      <c r="D178" s="1">
        <v>7.0</v>
      </c>
      <c r="E178" s="1">
        <v>8.0</v>
      </c>
      <c r="F178" s="1">
        <v>0.0</v>
      </c>
      <c r="G178" s="1">
        <v>1.0</v>
      </c>
    </row>
    <row r="179">
      <c r="A179" s="1" t="s">
        <v>168</v>
      </c>
      <c r="B179" s="1">
        <v>2021.0</v>
      </c>
      <c r="C179" s="1" t="s">
        <v>134</v>
      </c>
      <c r="D179" s="1">
        <v>6.0</v>
      </c>
      <c r="E179" s="1">
        <v>6.0</v>
      </c>
      <c r="F179" s="1">
        <v>0.0</v>
      </c>
      <c r="G179" s="1">
        <v>1.0</v>
      </c>
    </row>
    <row r="180">
      <c r="A180" s="1" t="s">
        <v>169</v>
      </c>
      <c r="B180" s="1">
        <v>2021.0</v>
      </c>
      <c r="C180" s="1" t="s">
        <v>170</v>
      </c>
      <c r="D180" s="1">
        <v>11.0</v>
      </c>
      <c r="E180" s="1">
        <v>3.0</v>
      </c>
      <c r="F180" s="1">
        <v>3.0</v>
      </c>
      <c r="G180" s="1">
        <v>0.0</v>
      </c>
    </row>
    <row r="181">
      <c r="A181" s="1" t="s">
        <v>47</v>
      </c>
      <c r="B181" s="1">
        <v>2021.0</v>
      </c>
      <c r="C181" s="1" t="s">
        <v>48</v>
      </c>
      <c r="D181" s="1">
        <v>6.0</v>
      </c>
      <c r="E181" s="1">
        <v>7.0</v>
      </c>
      <c r="F181" s="1">
        <v>0.0</v>
      </c>
      <c r="G181" s="1">
        <v>1.0</v>
      </c>
    </row>
    <row r="182">
      <c r="A182" s="1" t="s">
        <v>157</v>
      </c>
      <c r="B182" s="1">
        <v>2021.0</v>
      </c>
      <c r="C182" s="1" t="s">
        <v>81</v>
      </c>
      <c r="D182" s="1">
        <v>5.0</v>
      </c>
      <c r="E182" s="1">
        <v>9.0</v>
      </c>
      <c r="F182" s="1">
        <v>0.0</v>
      </c>
      <c r="G182" s="1">
        <v>0.0</v>
      </c>
    </row>
    <row r="183">
      <c r="A183" s="1" t="s">
        <v>129</v>
      </c>
      <c r="B183" s="1">
        <v>2021.0</v>
      </c>
      <c r="C183" s="1" t="s">
        <v>171</v>
      </c>
      <c r="D183" s="1">
        <v>0.0</v>
      </c>
      <c r="E183" s="1">
        <v>5.0</v>
      </c>
      <c r="F183" s="1">
        <v>0.0</v>
      </c>
      <c r="G183" s="1">
        <v>0.0</v>
      </c>
    </row>
    <row r="184">
      <c r="A184" s="1" t="s">
        <v>172</v>
      </c>
      <c r="B184" s="1">
        <v>2021.0</v>
      </c>
      <c r="C184" s="1" t="s">
        <v>166</v>
      </c>
      <c r="D184" s="1">
        <v>2.0</v>
      </c>
      <c r="E184" s="1">
        <v>4.0</v>
      </c>
      <c r="F184" s="1">
        <v>0.0</v>
      </c>
      <c r="G184" s="1">
        <v>0.0</v>
      </c>
    </row>
    <row r="185">
      <c r="A185" s="1" t="s">
        <v>125</v>
      </c>
      <c r="B185" s="1">
        <v>2021.0</v>
      </c>
      <c r="C185" s="1" t="s">
        <v>72</v>
      </c>
      <c r="D185" s="1">
        <v>6.0</v>
      </c>
      <c r="E185" s="1">
        <v>8.0</v>
      </c>
      <c r="F185" s="1">
        <v>0.0</v>
      </c>
      <c r="G185" s="1">
        <v>0.0</v>
      </c>
    </row>
    <row r="186">
      <c r="A186" s="1" t="s">
        <v>71</v>
      </c>
      <c r="B186" s="1">
        <v>2022.0</v>
      </c>
      <c r="C186" s="1" t="s">
        <v>164</v>
      </c>
      <c r="D186" s="1">
        <v>14.0</v>
      </c>
      <c r="E186" s="1">
        <v>2.0</v>
      </c>
      <c r="F186" s="1">
        <v>1.0</v>
      </c>
      <c r="G186" s="1">
        <v>1.0</v>
      </c>
    </row>
    <row r="187">
      <c r="A187" s="1" t="s">
        <v>118</v>
      </c>
      <c r="B187" s="1">
        <v>2022.0</v>
      </c>
      <c r="C187" s="1" t="s">
        <v>153</v>
      </c>
      <c r="D187" s="1">
        <v>3.0</v>
      </c>
      <c r="E187" s="1">
        <v>13.0</v>
      </c>
      <c r="F187" s="1">
        <v>0.0</v>
      </c>
      <c r="G187" s="1">
        <v>0.0</v>
      </c>
    </row>
    <row r="188">
      <c r="A188" s="1" t="s">
        <v>173</v>
      </c>
      <c r="B188" s="1">
        <v>2022.0</v>
      </c>
      <c r="C188" s="1" t="s">
        <v>174</v>
      </c>
      <c r="D188" s="1">
        <v>1.0</v>
      </c>
      <c r="E188" s="1">
        <v>15.0</v>
      </c>
      <c r="F188" s="1">
        <v>0.0</v>
      </c>
      <c r="G188" s="1">
        <v>0.0</v>
      </c>
    </row>
    <row r="189">
      <c r="A189" s="1" t="s">
        <v>176</v>
      </c>
      <c r="B189" s="1">
        <v>2022.0</v>
      </c>
      <c r="C189" s="1" t="s">
        <v>166</v>
      </c>
      <c r="D189" s="1">
        <v>8.0</v>
      </c>
      <c r="E189" s="1">
        <v>8.0</v>
      </c>
      <c r="F189" s="1">
        <v>0.0</v>
      </c>
      <c r="G189" s="1">
        <v>0.0</v>
      </c>
    </row>
    <row r="190">
      <c r="A190" s="1" t="s">
        <v>92</v>
      </c>
      <c r="B190" s="1">
        <v>2022.0</v>
      </c>
      <c r="C190" s="1" t="s">
        <v>177</v>
      </c>
      <c r="D190" s="1">
        <v>6.0</v>
      </c>
      <c r="E190" s="1">
        <v>10.0</v>
      </c>
      <c r="F190" s="1">
        <v>0.0</v>
      </c>
      <c r="G190" s="1">
        <v>0.0</v>
      </c>
    </row>
    <row r="191">
      <c r="A191" s="1" t="s">
        <v>178</v>
      </c>
      <c r="B191" s="1">
        <v>2022.0</v>
      </c>
      <c r="C191" s="1" t="s">
        <v>166</v>
      </c>
      <c r="D191" s="1">
        <v>0.0</v>
      </c>
      <c r="E191" s="1">
        <v>0.0</v>
      </c>
      <c r="F191" s="1">
        <v>0.0</v>
      </c>
      <c r="G191" s="1">
        <v>1.0</v>
      </c>
    </row>
    <row r="192">
      <c r="A192" s="1" t="s">
        <v>143</v>
      </c>
      <c r="B192" s="1">
        <v>2022.0</v>
      </c>
      <c r="C192" s="1" t="s">
        <v>103</v>
      </c>
      <c r="D192" s="1">
        <v>13.0</v>
      </c>
      <c r="E192" s="1">
        <v>3.0</v>
      </c>
      <c r="F192" s="1">
        <v>1.0</v>
      </c>
      <c r="G192" s="1">
        <v>1.0</v>
      </c>
    </row>
    <row r="193">
      <c r="A193" s="1" t="s">
        <v>179</v>
      </c>
      <c r="B193" s="1">
        <v>2022.0</v>
      </c>
      <c r="C193" s="1" t="s">
        <v>170</v>
      </c>
      <c r="D193" s="1">
        <v>11.0</v>
      </c>
      <c r="E193" s="1">
        <v>5.0</v>
      </c>
      <c r="F193" s="1">
        <v>0.0</v>
      </c>
      <c r="G193" s="1">
        <v>1.0</v>
      </c>
    </row>
    <row r="194">
      <c r="A194" s="1" t="s">
        <v>154</v>
      </c>
      <c r="B194" s="1">
        <v>2022.0</v>
      </c>
      <c r="C194" s="1" t="s">
        <v>155</v>
      </c>
      <c r="D194" s="1">
        <v>3.0</v>
      </c>
      <c r="E194" s="1">
        <v>13.0</v>
      </c>
      <c r="F194" s="1">
        <v>0.0</v>
      </c>
      <c r="G194" s="1">
        <v>0.0</v>
      </c>
    </row>
    <row r="195">
      <c r="A195" s="1" t="s">
        <v>180</v>
      </c>
      <c r="B195" s="1">
        <v>2022.0</v>
      </c>
      <c r="C195" s="1" t="s">
        <v>134</v>
      </c>
      <c r="D195" s="1">
        <v>9.0</v>
      </c>
      <c r="E195" s="1">
        <v>7.0</v>
      </c>
      <c r="F195" s="1">
        <v>0.0</v>
      </c>
      <c r="G195" s="1">
        <v>1.0</v>
      </c>
    </row>
    <row r="196">
      <c r="A196" s="1" t="s">
        <v>168</v>
      </c>
      <c r="B196" s="1">
        <v>2022.0</v>
      </c>
      <c r="C196" s="1" t="s">
        <v>162</v>
      </c>
      <c r="D196" s="1">
        <v>12.0</v>
      </c>
      <c r="E196" s="1">
        <v>4.0</v>
      </c>
      <c r="F196" s="1">
        <v>3.0</v>
      </c>
      <c r="G196" s="1">
        <v>0.0</v>
      </c>
    </row>
    <row r="197">
      <c r="A197" s="1" t="s">
        <v>47</v>
      </c>
      <c r="B197" s="1">
        <v>2022.0</v>
      </c>
      <c r="C197" s="1" t="s">
        <v>48</v>
      </c>
      <c r="D197" s="1">
        <v>8.0</v>
      </c>
      <c r="E197" s="1">
        <v>8.0</v>
      </c>
      <c r="F197" s="1">
        <v>0.0</v>
      </c>
      <c r="G197" s="1">
        <v>0.0</v>
      </c>
    </row>
    <row r="198">
      <c r="A198" s="1" t="s">
        <v>157</v>
      </c>
      <c r="B198" s="1">
        <v>2022.0</v>
      </c>
      <c r="C198" s="1" t="s">
        <v>81</v>
      </c>
      <c r="D198" s="1">
        <v>6.0</v>
      </c>
      <c r="E198" s="1">
        <v>10.0</v>
      </c>
      <c r="F198" s="1">
        <v>0.0</v>
      </c>
      <c r="G198" s="1">
        <v>0.0</v>
      </c>
    </row>
    <row r="199">
      <c r="A199" s="1" t="s">
        <v>158</v>
      </c>
      <c r="B199" s="1">
        <v>2022.0</v>
      </c>
      <c r="C199" s="1" t="s">
        <v>159</v>
      </c>
      <c r="D199" s="1">
        <v>9.0</v>
      </c>
      <c r="E199" s="1">
        <v>7.0</v>
      </c>
      <c r="F199" s="1">
        <v>2.0</v>
      </c>
      <c r="G199" s="1">
        <v>1.0</v>
      </c>
    </row>
    <row r="200">
      <c r="A200" s="1" t="s">
        <v>125</v>
      </c>
      <c r="B200" s="1">
        <v>2022.0</v>
      </c>
      <c r="C200" s="1" t="s">
        <v>72</v>
      </c>
      <c r="D200" s="1">
        <v>9.0</v>
      </c>
      <c r="E200" s="1">
        <v>7.0</v>
      </c>
      <c r="F200" s="1">
        <v>0.0</v>
      </c>
      <c r="G200" s="1">
        <v>1.0</v>
      </c>
    </row>
    <row r="201">
      <c r="A201" s="1" t="s">
        <v>13</v>
      </c>
      <c r="B201" s="1">
        <v>2023.0</v>
      </c>
      <c r="C201" s="1" t="s">
        <v>174</v>
      </c>
      <c r="D201" s="1">
        <v>3.0</v>
      </c>
      <c r="E201" s="1">
        <v>2.0</v>
      </c>
      <c r="F201" s="1">
        <v>0.0</v>
      </c>
      <c r="G201" s="1">
        <v>0.0</v>
      </c>
    </row>
    <row r="202">
      <c r="A202" s="1" t="s">
        <v>71</v>
      </c>
      <c r="B202" s="1">
        <v>2023.0</v>
      </c>
      <c r="C202" s="1" t="s">
        <v>164</v>
      </c>
      <c r="D202" s="1">
        <v>11.0</v>
      </c>
      <c r="E202" s="1">
        <v>2.0</v>
      </c>
      <c r="F202" s="1">
        <v>1.0</v>
      </c>
      <c r="G202" s="1">
        <v>1.0</v>
      </c>
    </row>
    <row r="203">
      <c r="A203" s="1" t="s">
        <v>142</v>
      </c>
      <c r="B203" s="1">
        <v>2023.0</v>
      </c>
      <c r="C203" s="1" t="s">
        <v>72</v>
      </c>
      <c r="D203" s="1">
        <v>9.0</v>
      </c>
      <c r="E203" s="1">
        <v>6.0</v>
      </c>
      <c r="F203" s="1">
        <v>0.0</v>
      </c>
      <c r="G203" s="1">
        <v>1.0</v>
      </c>
    </row>
    <row r="204">
      <c r="A204" s="1" t="s">
        <v>182</v>
      </c>
      <c r="B204" s="1">
        <v>2023.0</v>
      </c>
      <c r="C204" s="1" t="s">
        <v>164</v>
      </c>
      <c r="D204" s="1">
        <v>2.0</v>
      </c>
      <c r="E204" s="1">
        <v>0.0</v>
      </c>
      <c r="F204" s="1">
        <v>1.0</v>
      </c>
      <c r="G204" s="1">
        <v>1.0</v>
      </c>
    </row>
    <row r="205">
      <c r="A205" s="1" t="s">
        <v>92</v>
      </c>
      <c r="B205" s="1">
        <v>2023.0</v>
      </c>
      <c r="C205" s="1" t="s">
        <v>177</v>
      </c>
      <c r="D205" s="1">
        <v>5.0</v>
      </c>
      <c r="E205" s="1">
        <v>10.0</v>
      </c>
      <c r="F205" s="1">
        <v>0.0</v>
      </c>
      <c r="G205" s="1">
        <v>0.0</v>
      </c>
    </row>
    <row r="206">
      <c r="A206" s="1" t="s">
        <v>183</v>
      </c>
      <c r="B206" s="1">
        <v>2023.0</v>
      </c>
      <c r="C206" s="1" t="s">
        <v>153</v>
      </c>
      <c r="D206" s="1">
        <v>6.0</v>
      </c>
      <c r="E206" s="1">
        <v>9.0</v>
      </c>
      <c r="F206" s="1">
        <v>0.0</v>
      </c>
      <c r="G206" s="1">
        <v>0.0</v>
      </c>
    </row>
    <row r="207">
      <c r="A207" s="1" t="s">
        <v>178</v>
      </c>
      <c r="B207" s="1">
        <v>2023.0</v>
      </c>
      <c r="C207" s="1" t="s">
        <v>166</v>
      </c>
      <c r="D207" s="1">
        <v>5.0</v>
      </c>
      <c r="E207" s="1">
        <v>10.0</v>
      </c>
      <c r="F207" s="1">
        <v>0.0</v>
      </c>
      <c r="G207" s="1">
        <v>0.0</v>
      </c>
    </row>
    <row r="208">
      <c r="A208" s="1" t="s">
        <v>143</v>
      </c>
      <c r="B208" s="1">
        <v>2023.0</v>
      </c>
      <c r="C208" s="1" t="s">
        <v>103</v>
      </c>
      <c r="D208" s="1">
        <v>11.0</v>
      </c>
      <c r="E208" s="1">
        <v>4.0</v>
      </c>
      <c r="F208" s="1">
        <v>0.0</v>
      </c>
      <c r="G208" s="1">
        <v>1.0</v>
      </c>
    </row>
    <row r="209">
      <c r="A209" s="1" t="s">
        <v>145</v>
      </c>
      <c r="B209" s="1">
        <v>2023.0</v>
      </c>
      <c r="C209" s="1" t="s">
        <v>184</v>
      </c>
      <c r="D209" s="1">
        <v>2.0</v>
      </c>
      <c r="E209" s="1">
        <v>13.0</v>
      </c>
      <c r="F209" s="1">
        <v>0.0</v>
      </c>
      <c r="G209" s="1">
        <v>0.0</v>
      </c>
    </row>
    <row r="210">
      <c r="A210" s="1" t="s">
        <v>185</v>
      </c>
      <c r="B210" s="1">
        <v>2023.0</v>
      </c>
      <c r="C210" s="1" t="s">
        <v>174</v>
      </c>
      <c r="D210" s="1">
        <v>7.0</v>
      </c>
      <c r="E210" s="1">
        <v>3.0</v>
      </c>
      <c r="F210" s="1">
        <v>3.0</v>
      </c>
      <c r="G210" s="1">
        <v>0.0</v>
      </c>
    </row>
    <row r="211">
      <c r="A211" s="1" t="s">
        <v>180</v>
      </c>
      <c r="B211" s="1">
        <v>2023.0</v>
      </c>
      <c r="C211" s="1" t="s">
        <v>134</v>
      </c>
      <c r="D211" s="1">
        <v>3.0</v>
      </c>
      <c r="E211" s="1">
        <v>13.0</v>
      </c>
      <c r="F211" s="1">
        <v>0.0</v>
      </c>
      <c r="G211" s="1">
        <v>0.0</v>
      </c>
    </row>
    <row r="212">
      <c r="A212" s="1" t="s">
        <v>168</v>
      </c>
      <c r="B212" s="1">
        <v>2023.0</v>
      </c>
      <c r="C212" s="1" t="s">
        <v>162</v>
      </c>
      <c r="D212" s="1">
        <v>7.0</v>
      </c>
      <c r="E212" s="1">
        <v>8.0</v>
      </c>
      <c r="F212" s="1">
        <v>1.0</v>
      </c>
      <c r="G212" s="1">
        <v>1.0</v>
      </c>
    </row>
    <row r="213">
      <c r="A213" s="1" t="s">
        <v>47</v>
      </c>
      <c r="B213" s="1">
        <v>2023.0</v>
      </c>
      <c r="C213" s="1" t="s">
        <v>48</v>
      </c>
      <c r="D213" s="1">
        <v>9.0</v>
      </c>
      <c r="E213" s="1">
        <v>6.0</v>
      </c>
      <c r="F213" s="1">
        <v>2.0</v>
      </c>
      <c r="G213" s="1">
        <v>1.0</v>
      </c>
    </row>
    <row r="214">
      <c r="A214" s="1" t="s">
        <v>157</v>
      </c>
      <c r="B214" s="1">
        <v>2023.0</v>
      </c>
      <c r="C214" s="1" t="s">
        <v>81</v>
      </c>
      <c r="D214" s="1">
        <v>7.0</v>
      </c>
      <c r="E214" s="1">
        <v>8.0</v>
      </c>
      <c r="F214" s="1">
        <v>0.0</v>
      </c>
      <c r="G214" s="1">
        <v>0.0</v>
      </c>
    </row>
    <row r="215">
      <c r="A215" s="1" t="s">
        <v>158</v>
      </c>
      <c r="B215" s="1">
        <v>2023.0</v>
      </c>
      <c r="C215" s="1" t="s">
        <v>159</v>
      </c>
      <c r="D215" s="1">
        <v>9.0</v>
      </c>
      <c r="E215" s="1">
        <v>6.0</v>
      </c>
      <c r="F215" s="1">
        <v>0.0</v>
      </c>
      <c r="G215" s="1">
        <v>1.0</v>
      </c>
    </row>
    <row r="216">
      <c r="A216" s="1" t="s">
        <v>129</v>
      </c>
      <c r="B216" s="1">
        <v>2023.0</v>
      </c>
      <c r="C216" s="1" t="s">
        <v>170</v>
      </c>
      <c r="D216" s="1">
        <v>9.0</v>
      </c>
      <c r="E216" s="1">
        <v>6.0</v>
      </c>
      <c r="F216" s="1">
        <v>0.0</v>
      </c>
      <c r="G216" s="1">
        <v>1.0</v>
      </c>
    </row>
    <row r="217">
      <c r="A217" s="1" t="s">
        <v>125</v>
      </c>
      <c r="B217" s="1">
        <v>2023.0</v>
      </c>
      <c r="C217" s="1" t="s">
        <v>174</v>
      </c>
      <c r="D217" s="1">
        <v>7.0</v>
      </c>
      <c r="E217" s="1">
        <v>3.0</v>
      </c>
      <c r="F217" s="1">
        <v>3.0</v>
      </c>
      <c r="G217" s="1">
        <v>0.0</v>
      </c>
    </row>
    <row r="218">
      <c r="A218" s="1" t="s">
        <v>71</v>
      </c>
      <c r="B218" s="1">
        <v>2024.0</v>
      </c>
      <c r="C218" s="1" t="s">
        <v>72</v>
      </c>
      <c r="D218" s="1">
        <v>2.0</v>
      </c>
      <c r="E218" s="1">
        <v>14.0</v>
      </c>
      <c r="F218" s="1">
        <v>0.0</v>
      </c>
      <c r="G218" s="1">
        <v>0.0</v>
      </c>
    </row>
    <row r="219">
      <c r="A219" s="1" t="s">
        <v>182</v>
      </c>
      <c r="B219" s="1">
        <v>2024.0</v>
      </c>
      <c r="C219" s="1" t="s">
        <v>164</v>
      </c>
      <c r="D219" s="1">
        <v>13.0</v>
      </c>
      <c r="E219" s="1">
        <v>3.0</v>
      </c>
      <c r="F219" s="1">
        <v>0.0</v>
      </c>
      <c r="G219" s="1">
        <v>1.0</v>
      </c>
    </row>
    <row r="220">
      <c r="A220" s="1" t="s">
        <v>92</v>
      </c>
      <c r="B220" s="1">
        <v>2024.0</v>
      </c>
      <c r="C220" s="1" t="s">
        <v>177</v>
      </c>
      <c r="D220" s="1">
        <v>11.0</v>
      </c>
      <c r="E220" s="1">
        <v>5.0</v>
      </c>
      <c r="F220" s="1">
        <v>0.0</v>
      </c>
      <c r="G220" s="1">
        <v>1.0</v>
      </c>
    </row>
    <row r="221">
      <c r="A221" s="1" t="s">
        <v>187</v>
      </c>
      <c r="B221" s="1">
        <v>2024.0</v>
      </c>
      <c r="C221" s="1" t="s">
        <v>48</v>
      </c>
      <c r="D221" s="1">
        <v>3.0</v>
      </c>
      <c r="E221" s="1">
        <v>13.0</v>
      </c>
      <c r="F221" s="1">
        <v>0.0</v>
      </c>
      <c r="G221" s="1">
        <v>0.0</v>
      </c>
    </row>
    <row r="222">
      <c r="A222" s="1" t="s">
        <v>183</v>
      </c>
      <c r="B222" s="1">
        <v>2024.0</v>
      </c>
      <c r="C222" s="1" t="s">
        <v>153</v>
      </c>
      <c r="D222" s="1">
        <v>10.0</v>
      </c>
      <c r="E222" s="1">
        <v>6.0</v>
      </c>
      <c r="F222" s="1">
        <v>1.0</v>
      </c>
      <c r="G222" s="1">
        <v>1.0</v>
      </c>
    </row>
    <row r="223">
      <c r="A223" s="1" t="s">
        <v>188</v>
      </c>
      <c r="B223" s="1">
        <v>2024.0</v>
      </c>
      <c r="C223" s="1" t="s">
        <v>189</v>
      </c>
      <c r="D223" s="1">
        <v>5.0</v>
      </c>
      <c r="E223" s="1">
        <v>11.0</v>
      </c>
      <c r="F223" s="1">
        <v>0.0</v>
      </c>
      <c r="G223" s="1">
        <v>0.0</v>
      </c>
    </row>
    <row r="224">
      <c r="A224" s="1" t="s">
        <v>178</v>
      </c>
      <c r="B224" s="1">
        <v>2024.0</v>
      </c>
      <c r="C224" s="1" t="s">
        <v>166</v>
      </c>
      <c r="D224" s="1">
        <v>3.0</v>
      </c>
      <c r="E224" s="1">
        <v>13.0</v>
      </c>
      <c r="F224" s="1">
        <v>0.0</v>
      </c>
      <c r="G224" s="1">
        <v>0.0</v>
      </c>
    </row>
    <row r="225">
      <c r="A225" s="1" t="s">
        <v>143</v>
      </c>
      <c r="B225" s="1">
        <v>2024.0</v>
      </c>
      <c r="C225" s="1" t="s">
        <v>103</v>
      </c>
      <c r="D225" s="1">
        <v>11.0</v>
      </c>
      <c r="E225" s="1">
        <v>5.0</v>
      </c>
      <c r="F225" s="1">
        <v>3.0</v>
      </c>
      <c r="G225" s="1">
        <v>0.0</v>
      </c>
    </row>
    <row r="226">
      <c r="A226" s="1" t="s">
        <v>145</v>
      </c>
      <c r="B226" s="1">
        <v>2024.0</v>
      </c>
      <c r="C226" s="1" t="s">
        <v>184</v>
      </c>
      <c r="D226" s="1">
        <v>6.0</v>
      </c>
      <c r="E226" s="1">
        <v>10.0</v>
      </c>
      <c r="F226" s="1">
        <v>0.0</v>
      </c>
      <c r="G226" s="1">
        <v>0.0</v>
      </c>
    </row>
    <row r="227">
      <c r="A227" s="1" t="s">
        <v>185</v>
      </c>
      <c r="B227" s="1">
        <v>2024.0</v>
      </c>
      <c r="C227" s="1" t="s">
        <v>174</v>
      </c>
      <c r="D227" s="1">
        <v>13.0</v>
      </c>
      <c r="E227" s="1">
        <v>3.0</v>
      </c>
      <c r="F227" s="1">
        <v>0.0</v>
      </c>
      <c r="G227" s="1">
        <v>1.0</v>
      </c>
    </row>
    <row r="228">
      <c r="A228" s="1" t="s">
        <v>191</v>
      </c>
      <c r="B228" s="1">
        <v>2024.0</v>
      </c>
      <c r="C228" s="1" t="s">
        <v>166</v>
      </c>
      <c r="D228" s="1">
        <v>2.0</v>
      </c>
      <c r="E228" s="1">
        <v>3.0</v>
      </c>
      <c r="F228" s="1">
        <v>0.0</v>
      </c>
      <c r="G228" s="1">
        <v>0.0</v>
      </c>
    </row>
    <row r="229">
      <c r="A229" s="1" t="s">
        <v>192</v>
      </c>
      <c r="B229" s="1">
        <v>2024.0</v>
      </c>
      <c r="C229" s="1" t="s">
        <v>193</v>
      </c>
      <c r="D229" s="1">
        <v>8.0</v>
      </c>
      <c r="E229" s="1">
        <v>8.0</v>
      </c>
      <c r="F229" s="1">
        <v>0.0</v>
      </c>
      <c r="G229" s="1">
        <v>0.0</v>
      </c>
    </row>
    <row r="230">
      <c r="A230" s="1" t="s">
        <v>154</v>
      </c>
      <c r="B230" s="1">
        <v>2024.0</v>
      </c>
      <c r="C230" s="1" t="s">
        <v>170</v>
      </c>
      <c r="D230" s="1">
        <v>8.0</v>
      </c>
      <c r="E230" s="1">
        <v>8.0</v>
      </c>
      <c r="F230" s="1">
        <v>2.0</v>
      </c>
      <c r="G230" s="1">
        <v>1.0</v>
      </c>
    </row>
    <row r="231">
      <c r="A231" s="1" t="s">
        <v>180</v>
      </c>
      <c r="B231" s="1">
        <v>2024.0</v>
      </c>
      <c r="C231" s="1" t="s">
        <v>134</v>
      </c>
      <c r="D231" s="1">
        <v>5.0</v>
      </c>
      <c r="E231" s="1">
        <v>11.0</v>
      </c>
      <c r="F231" s="1">
        <v>0.0</v>
      </c>
      <c r="G231" s="1">
        <v>0.0</v>
      </c>
    </row>
    <row r="232">
      <c r="A232" s="1" t="s">
        <v>168</v>
      </c>
      <c r="B232" s="1">
        <v>2024.0</v>
      </c>
      <c r="C232" s="1" t="s">
        <v>162</v>
      </c>
      <c r="D232" s="1">
        <v>9.0</v>
      </c>
      <c r="E232" s="1">
        <v>7.0</v>
      </c>
      <c r="F232" s="1">
        <v>0.0</v>
      </c>
      <c r="G232" s="1">
        <v>0.0</v>
      </c>
    </row>
    <row r="233">
      <c r="A233" s="1" t="s">
        <v>157</v>
      </c>
      <c r="B233" s="1">
        <v>2024.0</v>
      </c>
      <c r="C233" s="1" t="s">
        <v>81</v>
      </c>
      <c r="D233" s="1">
        <v>13.0</v>
      </c>
      <c r="E233" s="1">
        <v>3.0</v>
      </c>
      <c r="F233" s="1">
        <v>1.0</v>
      </c>
      <c r="G233" s="1">
        <v>1.0</v>
      </c>
    </row>
    <row r="234">
      <c r="A234" s="1" t="s">
        <v>158</v>
      </c>
      <c r="B234" s="1">
        <v>2024.0</v>
      </c>
      <c r="C234" s="1" t="s">
        <v>159</v>
      </c>
      <c r="D234" s="1">
        <v>8.0</v>
      </c>
      <c r="E234" s="1">
        <v>8.0</v>
      </c>
      <c r="F234" s="1">
        <v>0.0</v>
      </c>
      <c r="G234" s="1">
        <v>1.0</v>
      </c>
    </row>
    <row r="235">
      <c r="A235" s="1" t="s">
        <v>71</v>
      </c>
      <c r="B235" s="1">
        <v>2025.0</v>
      </c>
      <c r="C235" s="1" t="s">
        <v>72</v>
      </c>
    </row>
    <row r="236">
      <c r="A236" s="1" t="s">
        <v>92</v>
      </c>
      <c r="B236" s="1">
        <v>2025.0</v>
      </c>
      <c r="C236" s="1" t="s">
        <v>177</v>
      </c>
    </row>
    <row r="237">
      <c r="A237" s="1" t="s">
        <v>183</v>
      </c>
      <c r="B237" s="1">
        <v>2025.0</v>
      </c>
      <c r="C237" s="1" t="s">
        <v>153</v>
      </c>
    </row>
    <row r="238">
      <c r="A238" s="1" t="s">
        <v>188</v>
      </c>
      <c r="B238" s="1">
        <v>2025.0</v>
      </c>
      <c r="C238" s="1" t="s">
        <v>189</v>
      </c>
    </row>
    <row r="239">
      <c r="A239" s="1" t="s">
        <v>143</v>
      </c>
      <c r="B239" s="1">
        <v>2025.0</v>
      </c>
      <c r="C239" s="1" t="s">
        <v>103</v>
      </c>
    </row>
    <row r="240">
      <c r="A240" s="1" t="s">
        <v>194</v>
      </c>
      <c r="B240" s="1">
        <v>2025.0</v>
      </c>
      <c r="C240" s="1" t="s">
        <v>162</v>
      </c>
    </row>
    <row r="241">
      <c r="A241" s="1" t="s">
        <v>145</v>
      </c>
      <c r="B241" s="1">
        <v>2025.0</v>
      </c>
      <c r="C241" s="1" t="s">
        <v>184</v>
      </c>
    </row>
    <row r="242">
      <c r="A242" s="1" t="s">
        <v>185</v>
      </c>
      <c r="B242" s="1">
        <v>2025.0</v>
      </c>
      <c r="C242" s="1" t="s">
        <v>174</v>
      </c>
    </row>
    <row r="243">
      <c r="A243" s="1" t="s">
        <v>192</v>
      </c>
      <c r="B243" s="1">
        <v>2025.0</v>
      </c>
      <c r="C243" s="1" t="s">
        <v>193</v>
      </c>
    </row>
    <row r="244">
      <c r="A244" s="1" t="s">
        <v>196</v>
      </c>
      <c r="B244" s="1">
        <v>2025.0</v>
      </c>
      <c r="C244" s="1" t="s">
        <v>170</v>
      </c>
    </row>
    <row r="245">
      <c r="A245" s="1" t="s">
        <v>180</v>
      </c>
      <c r="B245" s="1">
        <v>2025.0</v>
      </c>
      <c r="C245" s="1" t="s">
        <v>134</v>
      </c>
    </row>
    <row r="246">
      <c r="A246" s="1" t="s">
        <v>157</v>
      </c>
      <c r="B246" s="1">
        <v>2025.0</v>
      </c>
      <c r="C246" s="1" t="s">
        <v>81</v>
      </c>
    </row>
    <row r="247">
      <c r="A247" s="1" t="s">
        <v>158</v>
      </c>
      <c r="B247" s="1">
        <v>2025.0</v>
      </c>
      <c r="C247" s="1" t="s">
        <v>159</v>
      </c>
    </row>
    <row r="248">
      <c r="A248" s="1" t="s">
        <v>125</v>
      </c>
      <c r="B248" s="1">
        <v>2025.0</v>
      </c>
      <c r="C248" s="1" t="s">
        <v>197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25.25"/>
    <col customWidth="1" min="2" max="2" width="13.63"/>
    <col customWidth="1" min="8" max="8" width="41.38"/>
    <col customWidth="1" min="10" max="10" width="17.63"/>
  </cols>
  <sheetData>
    <row r="1">
      <c r="A1" s="1" t="s">
        <v>0</v>
      </c>
      <c r="B1" s="1" t="s">
        <v>1</v>
      </c>
      <c r="C1" s="1" t="s">
        <v>2</v>
      </c>
      <c r="D1" s="1" t="s">
        <v>3</v>
      </c>
      <c r="E1" s="1" t="s">
        <v>4</v>
      </c>
      <c r="F1" s="1" t="s">
        <v>6</v>
      </c>
      <c r="G1" s="1" t="s">
        <v>8</v>
      </c>
      <c r="H1" s="1" t="s">
        <v>9</v>
      </c>
      <c r="I1" s="1" t="s">
        <v>10</v>
      </c>
      <c r="J1" s="2" t="s">
        <v>11</v>
      </c>
    </row>
    <row r="2">
      <c r="A2" s="1" t="s">
        <v>13</v>
      </c>
      <c r="B2" s="1" t="s">
        <v>14</v>
      </c>
      <c r="C2" s="1">
        <f>SUMIF(Seasons!A:A, Coaches!A2, Seasons!D:D)</f>
        <v>3</v>
      </c>
      <c r="D2" s="1">
        <f>SUMIF(Seasons!A:A, Coaches!A2, Seasons!E:E)</f>
        <v>2</v>
      </c>
      <c r="E2" s="1">
        <f>SUMIF(Seasons!A:A, Coaches!A2, Seasons!F:F)</f>
        <v>0</v>
      </c>
      <c r="F2" s="1">
        <f>SUMIF(Seasons!A:A, Coaches!A2, Seasons!G:G)</f>
        <v>0</v>
      </c>
      <c r="G2" s="1" t="str">
        <f t="shared" ref="G2:G99" si="1">(C2 + E2) &amp; "-" &amp; (D2 + F2)</f>
        <v>3-2</v>
      </c>
      <c r="H2" s="1" t="str">
        <f>IFERROR(__xludf.DUMMYFUNCTION("JOIN("", "", UNIQUE(FILTER(Seasons!C:C, Seasons!A:A = Coaches!A2)))"),"Bay Area")</f>
        <v>Bay Area</v>
      </c>
      <c r="I2" s="3" t="s">
        <v>59</v>
      </c>
      <c r="J2" s="2" t="s">
        <v>70</v>
      </c>
    </row>
    <row r="3">
      <c r="A3" s="1" t="s">
        <v>71</v>
      </c>
      <c r="B3" s="1" t="s">
        <v>72</v>
      </c>
      <c r="C3" s="1">
        <f>SUMIF(Seasons!A:A, Coaches!A3, Seasons!D:D)</f>
        <v>61</v>
      </c>
      <c r="D3" s="1">
        <f>SUMIF(Seasons!A:A, Coaches!A3, Seasons!E:E)</f>
        <v>42</v>
      </c>
      <c r="E3" s="1">
        <f>SUMIF(Seasons!A:A, Coaches!A3, Seasons!F:F)</f>
        <v>2</v>
      </c>
      <c r="F3" s="1">
        <f>SUMIF(Seasons!A:A, Coaches!A3, Seasons!G:G)</f>
        <v>4</v>
      </c>
      <c r="G3" s="1" t="str">
        <f t="shared" si="1"/>
        <v>63-46</v>
      </c>
      <c r="H3" s="1" t="str">
        <f>IFERROR(__xludf.DUMMYFUNCTION("JOIN("", "", UNIQUE(FILTER(Seasons!C:C, Seasons!A:A = Coaches!A3)))"),"Texas, Wichita Falls, Spokane, Frisco, Tucson")</f>
        <v>Texas, Wichita Falls, Spokane, Frisco, Tucson</v>
      </c>
      <c r="I3" s="3" t="s">
        <v>82</v>
      </c>
      <c r="J3" s="2" t="s">
        <v>88</v>
      </c>
    </row>
    <row r="4">
      <c r="A4" s="1" t="s">
        <v>89</v>
      </c>
      <c r="B4" s="1" t="s">
        <v>14</v>
      </c>
      <c r="C4" s="1">
        <f>SUMIF(Seasons!A:A, Coaches!A4, Seasons!D:D)</f>
        <v>3</v>
      </c>
      <c r="D4" s="1">
        <f>SUMIF(Seasons!A:A, Coaches!A4, Seasons!E:E)</f>
        <v>11</v>
      </c>
      <c r="E4" s="1">
        <f>SUMIF(Seasons!A:A, Coaches!A4, Seasons!F:F)</f>
        <v>0</v>
      </c>
      <c r="F4" s="1">
        <f>SUMIF(Seasons!A:A, Coaches!A4, Seasons!G:G)</f>
        <v>0</v>
      </c>
      <c r="G4" s="1" t="str">
        <f t="shared" si="1"/>
        <v>3-11</v>
      </c>
      <c r="H4" s="1" t="str">
        <f>IFERROR(__xludf.DUMMYFUNCTION("JOIN("", "", UNIQUE(FILTER(Seasons!C:C, Seasons!A:A = Coaches!A4)))"),"Green Bay")</f>
        <v>Green Bay</v>
      </c>
      <c r="I4" s="3" t="s">
        <v>104</v>
      </c>
      <c r="J4" s="2" t="s">
        <v>108</v>
      </c>
    </row>
    <row r="5">
      <c r="A5" s="1" t="s">
        <v>57</v>
      </c>
      <c r="B5" s="1" t="s">
        <v>14</v>
      </c>
      <c r="C5" s="1">
        <f>SUMIF(Seasons!A:A, Coaches!A5, Seasons!D:D)</f>
        <v>11</v>
      </c>
      <c r="D5" s="1">
        <f>SUMIF(Seasons!A:A, Coaches!A5, Seasons!E:E)</f>
        <v>3</v>
      </c>
      <c r="E5" s="1">
        <f>SUMIF(Seasons!A:A, Coaches!A5, Seasons!F:F)</f>
        <v>2</v>
      </c>
      <c r="F5" s="1">
        <f>SUMIF(Seasons!A:A, Coaches!A5, Seasons!G:G)</f>
        <v>1</v>
      </c>
      <c r="G5" s="1" t="str">
        <f t="shared" si="1"/>
        <v>13-4</v>
      </c>
      <c r="H5" s="1" t="str">
        <f>IFERROR(__xludf.DUMMYFUNCTION("JOIN("", "", UNIQUE(FILTER(Seasons!C:C, Seasons!A:A = Coaches!A5)))"),"Arkansas")</f>
        <v>Arkansas</v>
      </c>
      <c r="I5" s="3" t="s">
        <v>115</v>
      </c>
      <c r="J5" s="2" t="s">
        <v>117</v>
      </c>
    </row>
    <row r="6">
      <c r="A6" s="1" t="s">
        <v>118</v>
      </c>
      <c r="B6" s="1" t="s">
        <v>14</v>
      </c>
      <c r="C6" s="1">
        <f>SUMIF(Seasons!A:A, Coaches!A6, Seasons!D:D)</f>
        <v>3</v>
      </c>
      <c r="D6" s="1">
        <f>SUMIF(Seasons!A:A, Coaches!A6, Seasons!E:E)</f>
        <v>13</v>
      </c>
      <c r="E6" s="1">
        <f>SUMIF(Seasons!A:A, Coaches!A6, Seasons!F:F)</f>
        <v>0</v>
      </c>
      <c r="F6" s="1">
        <f>SUMIF(Seasons!A:A, Coaches!A6, Seasons!G:G)</f>
        <v>0</v>
      </c>
      <c r="G6" s="1" t="str">
        <f t="shared" si="1"/>
        <v>3-13</v>
      </c>
      <c r="H6" s="1" t="str">
        <f>IFERROR(__xludf.DUMMYFUNCTION("JOIN("", "", UNIQUE(FILTER(Seasons!C:C, Seasons!A:A = Coaches!A6)))"),"San Diego")</f>
        <v>San Diego</v>
      </c>
      <c r="I6" s="4" t="s">
        <v>120</v>
      </c>
      <c r="J6" s="2" t="s">
        <v>122</v>
      </c>
    </row>
    <row r="7">
      <c r="A7" s="1" t="s">
        <v>12</v>
      </c>
      <c r="B7" s="1" t="s">
        <v>14</v>
      </c>
      <c r="C7" s="1">
        <f>SUMIF(Seasons!A:A, Coaches!A7, Seasons!D:D)</f>
        <v>14</v>
      </c>
      <c r="D7" s="1">
        <f>SUMIF(Seasons!A:A, Coaches!A7, Seasons!E:E)</f>
        <v>23</v>
      </c>
      <c r="E7" s="1">
        <f>SUMIF(Seasons!A:A, Coaches!A7, Seasons!F:F)</f>
        <v>0</v>
      </c>
      <c r="F7" s="1">
        <f>SUMIF(Seasons!A:A, Coaches!A7, Seasons!G:G)</f>
        <v>1</v>
      </c>
      <c r="G7" s="1" t="str">
        <f t="shared" si="1"/>
        <v>14-24</v>
      </c>
      <c r="H7" s="1" t="str">
        <f>IFERROR(__xludf.DUMMYFUNCTION("JOIN("", "", UNIQUE(FILTER(Seasons!C:C, Seasons!A:A = Coaches!A7)))"),"Abilene, Amarillo")</f>
        <v>Abilene, Amarillo</v>
      </c>
      <c r="I7" s="3" t="s">
        <v>128</v>
      </c>
      <c r="J7" s="2" t="s">
        <v>130</v>
      </c>
    </row>
    <row r="8">
      <c r="A8" s="1" t="s">
        <v>131</v>
      </c>
      <c r="B8" s="1" t="s">
        <v>14</v>
      </c>
      <c r="C8" s="1">
        <f>SUMIF(Seasons!A:A, Coaches!A8, Seasons!D:D)</f>
        <v>1</v>
      </c>
      <c r="D8" s="1">
        <f>SUMIF(Seasons!A:A, Coaches!A8, Seasons!E:E)</f>
        <v>6</v>
      </c>
      <c r="E8" s="1">
        <f>SUMIF(Seasons!A:A, Coaches!A8, Seasons!F:F)</f>
        <v>0</v>
      </c>
      <c r="F8" s="1">
        <f>SUMIF(Seasons!A:A, Coaches!A8, Seasons!G:G)</f>
        <v>0</v>
      </c>
      <c r="G8" s="1" t="str">
        <f t="shared" si="1"/>
        <v>1-6</v>
      </c>
      <c r="H8" s="1" t="str">
        <f>IFERROR(__xludf.DUMMYFUNCTION("JOIN("", "", UNIQUE(FILTER(Seasons!C:C, Seasons!A:A = Coaches!A8)))"),"Northern Arizona")</f>
        <v>Northern Arizona</v>
      </c>
      <c r="I8" s="3" t="s">
        <v>136</v>
      </c>
      <c r="J8" s="2" t="s">
        <v>139</v>
      </c>
    </row>
    <row r="9">
      <c r="A9" s="1" t="s">
        <v>133</v>
      </c>
      <c r="B9" s="1" t="s">
        <v>14</v>
      </c>
      <c r="C9" s="1">
        <f>SUMIF(Seasons!A:A, Coaches!A9, Seasons!D:D)</f>
        <v>10</v>
      </c>
      <c r="D9" s="1">
        <f>SUMIF(Seasons!A:A, Coaches!A9, Seasons!E:E)</f>
        <v>20</v>
      </c>
      <c r="E9" s="1">
        <f>SUMIF(Seasons!A:A, Coaches!A9, Seasons!F:F)</f>
        <v>0</v>
      </c>
      <c r="F9" s="1">
        <f>SUMIF(Seasons!A:A, Coaches!A9, Seasons!G:G)</f>
        <v>0</v>
      </c>
      <c r="G9" s="1" t="str">
        <f t="shared" si="1"/>
        <v>10-20</v>
      </c>
      <c r="H9" s="1" t="str">
        <f>IFERROR(__xludf.DUMMYFUNCTION("JOIN("", "", UNIQUE(FILTER(Seasons!C:C, Seasons!A:A = Coaches!A9)))"),"Iowa")</f>
        <v>Iowa</v>
      </c>
      <c r="I9" s="3" t="s">
        <v>141</v>
      </c>
      <c r="J9" s="2" t="s">
        <v>146</v>
      </c>
    </row>
    <row r="10">
      <c r="A10" s="1" t="s">
        <v>16</v>
      </c>
      <c r="B10" s="1" t="s">
        <v>14</v>
      </c>
      <c r="C10" s="1">
        <f>SUMIF(Seasons!A:A, Coaches!A10, Seasons!D:D)</f>
        <v>12</v>
      </c>
      <c r="D10" s="1">
        <f>SUMIF(Seasons!A:A, Coaches!A10, Seasons!E:E)</f>
        <v>2</v>
      </c>
      <c r="E10" s="1">
        <f>SUMIF(Seasons!A:A, Coaches!A10, Seasons!F:F)</f>
        <v>1</v>
      </c>
      <c r="F10" s="1">
        <f>SUMIF(Seasons!A:A, Coaches!A10, Seasons!G:G)</f>
        <v>1</v>
      </c>
      <c r="G10" s="1" t="str">
        <f t="shared" si="1"/>
        <v>13-3</v>
      </c>
      <c r="H10" s="1" t="str">
        <f>IFERROR(__xludf.DUMMYFUNCTION("JOIN("", "", UNIQUE(FILTER(Seasons!C:C, Seasons!A:A = Coaches!A10)))"),"El Paso")</f>
        <v>El Paso</v>
      </c>
      <c r="I10" s="3" t="s">
        <v>156</v>
      </c>
      <c r="J10" s="2" t="s">
        <v>160</v>
      </c>
    </row>
    <row r="11">
      <c r="A11" s="1" t="s">
        <v>90</v>
      </c>
      <c r="B11" s="1" t="s">
        <v>14</v>
      </c>
      <c r="C11" s="1">
        <f>SUMIF(Seasons!A:A, Coaches!A11, Seasons!D:D)</f>
        <v>4</v>
      </c>
      <c r="D11" s="1">
        <f>SUMIF(Seasons!A:A, Coaches!A11, Seasons!E:E)</f>
        <v>10</v>
      </c>
      <c r="E11" s="1">
        <f>SUMIF(Seasons!A:A, Coaches!A11, Seasons!F:F)</f>
        <v>0</v>
      </c>
      <c r="F11" s="1">
        <f>SUMIF(Seasons!A:A, Coaches!A11, Seasons!G:G)</f>
        <v>0</v>
      </c>
      <c r="G11" s="1" t="str">
        <f t="shared" si="1"/>
        <v>4-10</v>
      </c>
      <c r="H11" s="1" t="str">
        <f>IFERROR(__xludf.DUMMYFUNCTION("JOIN("", "", UNIQUE(FILTER(Seasons!C:C, Seasons!A:A = Coaches!A11)))"),"Lehigh Valley")</f>
        <v>Lehigh Valley</v>
      </c>
      <c r="I11" s="1"/>
      <c r="J11" s="2" t="s">
        <v>167</v>
      </c>
    </row>
    <row r="12">
      <c r="A12" s="1" t="s">
        <v>163</v>
      </c>
      <c r="B12" s="1" t="s">
        <v>14</v>
      </c>
      <c r="C12" s="1">
        <f>SUMIF(Seasons!A:A, Coaches!A12, Seasons!D:D)</f>
        <v>0</v>
      </c>
      <c r="D12" s="1">
        <f>SUMIF(Seasons!A:A, Coaches!A12, Seasons!E:E)</f>
        <v>7</v>
      </c>
      <c r="E12" s="1">
        <f>SUMIF(Seasons!A:A, Coaches!A12, Seasons!F:F)</f>
        <v>0</v>
      </c>
      <c r="F12" s="1">
        <f>SUMIF(Seasons!A:A, Coaches!A12, Seasons!G:G)</f>
        <v>0</v>
      </c>
      <c r="G12" s="1" t="str">
        <f t="shared" si="1"/>
        <v>0-7</v>
      </c>
      <c r="H12" s="1" t="str">
        <f>IFERROR(__xludf.DUMMYFUNCTION("JOIN("", "", UNIQUE(FILTER(Seasons!C:C, Seasons!A:A = Coaches!A12)))"),"Northern Arizona")</f>
        <v>Northern Arizona</v>
      </c>
      <c r="I12" s="1"/>
      <c r="J12" s="2" t="s">
        <v>175</v>
      </c>
    </row>
    <row r="13">
      <c r="A13" s="1" t="s">
        <v>60</v>
      </c>
      <c r="B13" s="1" t="s">
        <v>14</v>
      </c>
      <c r="C13" s="1">
        <f>SUMIF(Seasons!A:A, Coaches!A13, Seasons!D:D)</f>
        <v>5</v>
      </c>
      <c r="D13" s="1">
        <f>SUMIF(Seasons!A:A, Coaches!A13, Seasons!E:E)</f>
        <v>13</v>
      </c>
      <c r="E13" s="1">
        <f>SUMIF(Seasons!A:A, Coaches!A13, Seasons!F:F)</f>
        <v>0</v>
      </c>
      <c r="F13" s="1">
        <f>SUMIF(Seasons!A:A, Coaches!A13, Seasons!G:G)</f>
        <v>0</v>
      </c>
      <c r="G13" s="1" t="str">
        <f t="shared" si="1"/>
        <v>5-13</v>
      </c>
      <c r="H13" s="1" t="str">
        <f>IFERROR(__xludf.DUMMYFUNCTION("JOIN("", "", UNIQUE(FILTER(Seasons!C:C, Seasons!A:A = Coaches!A13)))"),"La Crosse")</f>
        <v>La Crosse</v>
      </c>
      <c r="I13" s="1"/>
      <c r="J13" s="2" t="s">
        <v>181</v>
      </c>
    </row>
    <row r="14">
      <c r="A14" s="1" t="s">
        <v>150</v>
      </c>
      <c r="B14" s="1" t="s">
        <v>14</v>
      </c>
      <c r="C14" s="1">
        <f>SUMIF(Seasons!A:A, Coaches!A14, Seasons!D:D)</f>
        <v>7</v>
      </c>
      <c r="D14" s="1">
        <f>SUMIF(Seasons!A:A, Coaches!A14, Seasons!E:E)</f>
        <v>7</v>
      </c>
      <c r="E14" s="1">
        <f>SUMIF(Seasons!A:A, Coaches!A14, Seasons!F:F)</f>
        <v>1</v>
      </c>
      <c r="F14" s="1">
        <f>SUMIF(Seasons!A:A, Coaches!A14, Seasons!G:G)</f>
        <v>1</v>
      </c>
      <c r="G14" s="1" t="str">
        <f t="shared" si="1"/>
        <v>8-8</v>
      </c>
      <c r="H14" s="1" t="str">
        <f>IFERROR(__xludf.DUMMYFUNCTION("JOIN("", "", UNIQUE(FILTER(Seasons!C:C, Seasons!A:A = Coaches!A14)))"),"Nebraska")</f>
        <v>Nebraska</v>
      </c>
      <c r="I14" s="1"/>
      <c r="J14" s="2" t="s">
        <v>186</v>
      </c>
    </row>
    <row r="15">
      <c r="A15" s="1" t="s">
        <v>173</v>
      </c>
      <c r="B15" s="1" t="s">
        <v>14</v>
      </c>
      <c r="C15" s="1">
        <f>SUMIF(Seasons!A:A, Coaches!A15, Seasons!D:D)</f>
        <v>1</v>
      </c>
      <c r="D15" s="1">
        <f>SUMIF(Seasons!A:A, Coaches!A15, Seasons!E:E)</f>
        <v>15</v>
      </c>
      <c r="E15" s="1">
        <f>SUMIF(Seasons!A:A, Coaches!A15, Seasons!F:F)</f>
        <v>0</v>
      </c>
      <c r="F15" s="1">
        <f>SUMIF(Seasons!A:A, Coaches!A15, Seasons!G:G)</f>
        <v>0</v>
      </c>
      <c r="G15" s="1" t="str">
        <f t="shared" si="1"/>
        <v>1-15</v>
      </c>
      <c r="H15" s="1" t="str">
        <f>IFERROR(__xludf.DUMMYFUNCTION("JOIN("", "", UNIQUE(FILTER(Seasons!C:C, Seasons!A:A = Coaches!A15)))"),"Bay Area")</f>
        <v>Bay Area</v>
      </c>
      <c r="I15" s="1"/>
      <c r="J15" s="2" t="s">
        <v>190</v>
      </c>
    </row>
    <row r="16">
      <c r="A16" s="1" t="s">
        <v>114</v>
      </c>
      <c r="B16" s="1" t="s">
        <v>14</v>
      </c>
      <c r="C16" s="1">
        <f>SUMIF(Seasons!A:A, Coaches!A16, Seasons!D:D)</f>
        <v>4</v>
      </c>
      <c r="D16" s="1">
        <f>SUMIF(Seasons!A:A, Coaches!A16, Seasons!E:E)</f>
        <v>2</v>
      </c>
      <c r="E16" s="1">
        <f>SUMIF(Seasons!A:A, Coaches!A16, Seasons!F:F)</f>
        <v>0</v>
      </c>
      <c r="F16" s="1">
        <f>SUMIF(Seasons!A:A, Coaches!A16, Seasons!G:G)</f>
        <v>1</v>
      </c>
      <c r="G16" s="1" t="str">
        <f t="shared" si="1"/>
        <v>4-3</v>
      </c>
      <c r="H16" s="1" t="str">
        <f>IFERROR(__xludf.DUMMYFUNCTION("JOIN("", "", UNIQUE(FILTER(Seasons!C:C, Seasons!A:A = Coaches!A16)))"),"Allen")</f>
        <v>Allen</v>
      </c>
      <c r="I16" s="1"/>
      <c r="J16" s="2" t="s">
        <v>195</v>
      </c>
    </row>
    <row r="17">
      <c r="A17" s="1" t="s">
        <v>18</v>
      </c>
      <c r="B17" s="1" t="s">
        <v>14</v>
      </c>
      <c r="C17" s="1">
        <f>SUMIF(Seasons!A:A, Coaches!A17, Seasons!D:D)</f>
        <v>23</v>
      </c>
      <c r="D17" s="1">
        <f>SUMIF(Seasons!A:A, Coaches!A17, Seasons!E:E)</f>
        <v>13</v>
      </c>
      <c r="E17" s="1">
        <f>SUMIF(Seasons!A:A, Coaches!A17, Seasons!F:F)</f>
        <v>0</v>
      </c>
      <c r="F17" s="1">
        <f>SUMIF(Seasons!A:A, Coaches!A17, Seasons!G:G)</f>
        <v>2</v>
      </c>
      <c r="G17" s="1" t="str">
        <f t="shared" si="1"/>
        <v>23-15</v>
      </c>
      <c r="H17" s="1" t="str">
        <f>IFERROR(__xludf.DUMMYFUNCTION("JOIN("", "", UNIQUE(FILTER(Seasons!C:C, Seasons!A:A = Coaches!A17)))"),"Bloomington")</f>
        <v>Bloomington</v>
      </c>
      <c r="I17" s="1"/>
      <c r="J17" s="2" t="s">
        <v>198</v>
      </c>
    </row>
    <row r="18">
      <c r="A18" s="1" t="s">
        <v>176</v>
      </c>
      <c r="B18" s="1" t="s">
        <v>14</v>
      </c>
      <c r="C18" s="1">
        <f>SUMIF(Seasons!A:A, Coaches!A18, Seasons!D:D)</f>
        <v>8</v>
      </c>
      <c r="D18" s="1">
        <f>SUMIF(Seasons!A:A, Coaches!A18, Seasons!E:E)</f>
        <v>8</v>
      </c>
      <c r="E18" s="1">
        <f>SUMIF(Seasons!A:A, Coaches!A18, Seasons!F:F)</f>
        <v>0</v>
      </c>
      <c r="F18" s="1">
        <f>SUMIF(Seasons!A:A, Coaches!A18, Seasons!G:G)</f>
        <v>0</v>
      </c>
      <c r="G18" s="1" t="str">
        <f t="shared" si="1"/>
        <v>8-8</v>
      </c>
      <c r="H18" s="1" t="str">
        <f>IFERROR(__xludf.DUMMYFUNCTION("JOIN("", "", UNIQUE(FILTER(Seasons!C:C, Seasons!A:A = Coaches!A18)))"),"Duke City")</f>
        <v>Duke City</v>
      </c>
      <c r="I18" s="1"/>
      <c r="J18" s="2" t="s">
        <v>199</v>
      </c>
    </row>
    <row r="19">
      <c r="A19" s="1" t="s">
        <v>142</v>
      </c>
      <c r="B19" s="1" t="s">
        <v>14</v>
      </c>
      <c r="C19" s="1">
        <f>SUMIF(Seasons!A:A, Coaches!A19, Seasons!D:D)</f>
        <v>18</v>
      </c>
      <c r="D19" s="1">
        <f>SUMIF(Seasons!A:A, Coaches!A19, Seasons!E:E)</f>
        <v>13</v>
      </c>
      <c r="E19" s="1">
        <f>SUMIF(Seasons!A:A, Coaches!A19, Seasons!F:F)</f>
        <v>0</v>
      </c>
      <c r="F19" s="1">
        <f>SUMIF(Seasons!A:A, Coaches!A19, Seasons!G:G)</f>
        <v>2</v>
      </c>
      <c r="G19" s="1" t="str">
        <f t="shared" si="1"/>
        <v>18-15</v>
      </c>
      <c r="H19" s="1" t="str">
        <f>IFERROR(__xludf.DUMMYFUNCTION("JOIN("", "", UNIQUE(FILTER(Seasons!C:C, Seasons!A:A = Coaches!A19)))"),"Nebraska, Tucson")</f>
        <v>Nebraska, Tucson</v>
      </c>
      <c r="I19" s="1"/>
      <c r="J19" s="2"/>
    </row>
    <row r="20">
      <c r="A20" s="1" t="s">
        <v>151</v>
      </c>
      <c r="B20" s="1" t="s">
        <v>14</v>
      </c>
      <c r="C20" s="1">
        <f>SUMIF(Seasons!A:A, Coaches!A20, Seasons!D:D)</f>
        <v>7</v>
      </c>
      <c r="D20" s="1">
        <f>SUMIF(Seasons!A:A, Coaches!A20, Seasons!E:E)</f>
        <v>7</v>
      </c>
      <c r="E20" s="1">
        <f>SUMIF(Seasons!A:A, Coaches!A20, Seasons!F:F)</f>
        <v>0</v>
      </c>
      <c r="F20" s="1">
        <f>SUMIF(Seasons!A:A, Coaches!A20, Seasons!G:G)</f>
        <v>1</v>
      </c>
      <c r="G20" s="1" t="str">
        <f t="shared" si="1"/>
        <v>7-8</v>
      </c>
      <c r="H20" s="1" t="str">
        <f>IFERROR(__xludf.DUMMYFUNCTION("JOIN("", "", UNIQUE(FILTER(Seasons!C:C, Seasons!A:A = Coaches!A20)))"),"Tucson")</f>
        <v>Tucson</v>
      </c>
      <c r="I20" s="1"/>
      <c r="J20" s="2"/>
    </row>
    <row r="21">
      <c r="A21" s="1" t="s">
        <v>182</v>
      </c>
      <c r="B21" s="1" t="s">
        <v>14</v>
      </c>
      <c r="C21" s="1">
        <f>SUMIF(Seasons!A:A, Coaches!A21, Seasons!D:D)</f>
        <v>15</v>
      </c>
      <c r="D21" s="1">
        <f>SUMIF(Seasons!A:A, Coaches!A21, Seasons!E:E)</f>
        <v>3</v>
      </c>
      <c r="E21" s="1">
        <f>SUMIF(Seasons!A:A, Coaches!A21, Seasons!F:F)</f>
        <v>1</v>
      </c>
      <c r="F21" s="1">
        <f>SUMIF(Seasons!A:A, Coaches!A21, Seasons!G:G)</f>
        <v>2</v>
      </c>
      <c r="G21" s="1" t="str">
        <f t="shared" si="1"/>
        <v>16-5</v>
      </c>
      <c r="H21" s="1" t="str">
        <f>IFERROR(__xludf.DUMMYFUNCTION("JOIN("", "", UNIQUE(FILTER(Seasons!C:C, Seasons!A:A = Coaches!A21)))"),"Frisco")</f>
        <v>Frisco</v>
      </c>
      <c r="I21" s="1"/>
      <c r="J21" s="2"/>
    </row>
    <row r="22">
      <c r="A22" s="1" t="s">
        <v>116</v>
      </c>
      <c r="B22" s="1" t="s">
        <v>14</v>
      </c>
      <c r="C22" s="1">
        <f>SUMIF(Seasons!A:A, Coaches!A22, Seasons!D:D)</f>
        <v>3</v>
      </c>
      <c r="D22" s="1">
        <f>SUMIF(Seasons!A:A, Coaches!A22, Seasons!E:E)</f>
        <v>5</v>
      </c>
      <c r="E22" s="1">
        <f>SUMIF(Seasons!A:A, Coaches!A22, Seasons!F:F)</f>
        <v>0</v>
      </c>
      <c r="F22" s="1">
        <f>SUMIF(Seasons!A:A, Coaches!A22, Seasons!G:G)</f>
        <v>0</v>
      </c>
      <c r="G22" s="1" t="str">
        <f t="shared" si="1"/>
        <v>3-5</v>
      </c>
      <c r="H22" s="1" t="str">
        <f>IFERROR(__xludf.DUMMYFUNCTION("JOIN("", "", UNIQUE(FILTER(Seasons!C:C, Seasons!A:A = Coaches!A22)))"),"Omaha")</f>
        <v>Omaha</v>
      </c>
      <c r="I22" s="1"/>
      <c r="J22" s="2"/>
    </row>
    <row r="23">
      <c r="A23" s="1" t="s">
        <v>62</v>
      </c>
      <c r="B23" s="1" t="s">
        <v>14</v>
      </c>
      <c r="C23" s="1">
        <f>SUMIF(Seasons!A:A, Coaches!A23, Seasons!D:D)</f>
        <v>13</v>
      </c>
      <c r="D23" s="1">
        <f>SUMIF(Seasons!A:A, Coaches!A23, Seasons!E:E)</f>
        <v>1</v>
      </c>
      <c r="E23" s="1">
        <f>SUMIF(Seasons!A:A, Coaches!A23, Seasons!F:F)</f>
        <v>0</v>
      </c>
      <c r="F23" s="1">
        <f>SUMIF(Seasons!A:A, Coaches!A23, Seasons!G:G)</f>
        <v>1</v>
      </c>
      <c r="G23" s="1" t="str">
        <f t="shared" si="1"/>
        <v>13-2</v>
      </c>
      <c r="H23" s="1" t="str">
        <f>IFERROR(__xludf.DUMMYFUNCTION("JOIN("", "", UNIQUE(FILTER(Seasons!C:C, Seasons!A:A = Coaches!A23)))"),"Richmond")</f>
        <v>Richmond</v>
      </c>
      <c r="I23" s="1"/>
      <c r="J23" s="2"/>
    </row>
    <row r="24">
      <c r="A24" s="1" t="s">
        <v>20</v>
      </c>
      <c r="B24" s="1" t="s">
        <v>14</v>
      </c>
      <c r="C24" s="1">
        <f>SUMIF(Seasons!A:A, Coaches!A24, Seasons!D:D)</f>
        <v>5</v>
      </c>
      <c r="D24" s="1">
        <f>SUMIF(Seasons!A:A, Coaches!A24, Seasons!E:E)</f>
        <v>9</v>
      </c>
      <c r="E24" s="1">
        <f>SUMIF(Seasons!A:A, Coaches!A24, Seasons!F:F)</f>
        <v>1</v>
      </c>
      <c r="F24" s="1">
        <f>SUMIF(Seasons!A:A, Coaches!A24, Seasons!G:G)</f>
        <v>1</v>
      </c>
      <c r="G24" s="1" t="str">
        <f t="shared" si="1"/>
        <v>6-10</v>
      </c>
      <c r="H24" s="1" t="str">
        <f>IFERROR(__xludf.DUMMYFUNCTION("JOIN("", "", UNIQUE(FILTER(Seasons!C:C, Seasons!A:A = Coaches!A24)))"),"San Angelo")</f>
        <v>San Angelo</v>
      </c>
      <c r="I24" s="1"/>
      <c r="J24" s="2"/>
    </row>
    <row r="25">
      <c r="A25" s="1" t="s">
        <v>64</v>
      </c>
      <c r="B25" s="1" t="s">
        <v>14</v>
      </c>
      <c r="C25" s="1">
        <f>SUMIF(Seasons!A:A, Coaches!A25, Seasons!D:D)</f>
        <v>1</v>
      </c>
      <c r="D25" s="1">
        <f>SUMIF(Seasons!A:A, Coaches!A25, Seasons!E:E)</f>
        <v>4</v>
      </c>
      <c r="E25" s="1">
        <f>SUMIF(Seasons!A:A, Coaches!A25, Seasons!F:F)</f>
        <v>0</v>
      </c>
      <c r="F25" s="1">
        <f>SUMIF(Seasons!A:A, Coaches!A25, Seasons!G:G)</f>
        <v>0</v>
      </c>
      <c r="G25" s="1" t="str">
        <f t="shared" si="1"/>
        <v>1-4</v>
      </c>
      <c r="H25" s="1" t="str">
        <f>IFERROR(__xludf.DUMMYFUNCTION("JOIN("", "", UNIQUE(FILTER(Seasons!C:C, Seasons!A:A = Coaches!A25)))"),"Maryland")</f>
        <v>Maryland</v>
      </c>
      <c r="I25" s="1"/>
      <c r="J25" s="2"/>
    </row>
    <row r="26">
      <c r="A26" s="1" t="s">
        <v>92</v>
      </c>
      <c r="B26" s="1" t="s">
        <v>177</v>
      </c>
      <c r="C26" s="1">
        <f>SUMIF(Seasons!A:A, Coaches!A26, Seasons!D:D)</f>
        <v>66</v>
      </c>
      <c r="D26" s="1">
        <f>SUMIF(Seasons!A:A, Coaches!A26, Seasons!E:E)</f>
        <v>67</v>
      </c>
      <c r="E26" s="1">
        <f>SUMIF(Seasons!A:A, Coaches!A26, Seasons!F:F)</f>
        <v>4</v>
      </c>
      <c r="F26" s="1">
        <f>SUMIF(Seasons!A:A, Coaches!A26, Seasons!G:G)</f>
        <v>5</v>
      </c>
      <c r="G26" s="1" t="str">
        <f t="shared" si="1"/>
        <v>70-72</v>
      </c>
      <c r="H26" s="1" t="str">
        <f>IFERROR(__xludf.DUMMYFUNCTION("JOIN("", "", UNIQUE(FILTER(Seasons!C:C, Seasons!A:A = Coaches!A26)))"),"Nebraska, Vegas")</f>
        <v>Nebraska, Vegas</v>
      </c>
      <c r="I26" s="1"/>
      <c r="J26" s="2" t="s">
        <v>200</v>
      </c>
    </row>
    <row r="27">
      <c r="A27" s="1" t="s">
        <v>22</v>
      </c>
      <c r="B27" s="1" t="s">
        <v>14</v>
      </c>
      <c r="C27" s="1">
        <f>SUMIF(Seasons!A:A, Coaches!A27, Seasons!D:D)</f>
        <v>4</v>
      </c>
      <c r="D27" s="1">
        <f>SUMIF(Seasons!A:A, Coaches!A27, Seasons!E:E)</f>
        <v>10</v>
      </c>
      <c r="E27" s="1">
        <f>SUMIF(Seasons!A:A, Coaches!A27, Seasons!F:F)</f>
        <v>0</v>
      </c>
      <c r="F27" s="1">
        <f>SUMIF(Seasons!A:A, Coaches!A27, Seasons!G:G)</f>
        <v>0</v>
      </c>
      <c r="G27" s="1" t="str">
        <f t="shared" si="1"/>
        <v>4-10</v>
      </c>
      <c r="H27" s="1" t="str">
        <f>IFERROR(__xludf.DUMMYFUNCTION("JOIN("", "", UNIQUE(FILTER(Seasons!C:C, Seasons!A:A = Coaches!A27)))"),"Sioux City")</f>
        <v>Sioux City</v>
      </c>
      <c r="I27" s="1"/>
      <c r="J27" s="2"/>
    </row>
    <row r="28">
      <c r="A28" s="1" t="s">
        <v>135</v>
      </c>
      <c r="B28" s="1" t="s">
        <v>14</v>
      </c>
      <c r="C28" s="1">
        <f>SUMIF(Seasons!A:A, Coaches!A28, Seasons!D:D)</f>
        <v>13</v>
      </c>
      <c r="D28" s="1">
        <f>SUMIF(Seasons!A:A, Coaches!A28, Seasons!E:E)</f>
        <v>17</v>
      </c>
      <c r="E28" s="1">
        <f>SUMIF(Seasons!A:A, Coaches!A28, Seasons!F:F)</f>
        <v>0</v>
      </c>
      <c r="F28" s="1">
        <f>SUMIF(Seasons!A:A, Coaches!A28, Seasons!G:G)</f>
        <v>1</v>
      </c>
      <c r="G28" s="1" t="str">
        <f t="shared" si="1"/>
        <v>13-18</v>
      </c>
      <c r="H28" s="1" t="str">
        <f>IFERROR(__xludf.DUMMYFUNCTION("JOIN("", "", UNIQUE(FILTER(Seasons!C:C, Seasons!A:A = Coaches!A28)))"),"Billings")</f>
        <v>Billings</v>
      </c>
      <c r="I28" s="1"/>
      <c r="J28" s="2"/>
    </row>
    <row r="29">
      <c r="A29" s="1" t="s">
        <v>24</v>
      </c>
      <c r="B29" s="1" t="s">
        <v>14</v>
      </c>
      <c r="C29" s="1">
        <f>SUMIF(Seasons!A:A, Coaches!A29, Seasons!D:D)</f>
        <v>0</v>
      </c>
      <c r="D29" s="1">
        <f>SUMIF(Seasons!A:A, Coaches!A29, Seasons!E:E)</f>
        <v>5</v>
      </c>
      <c r="E29" s="1">
        <f>SUMIF(Seasons!A:A, Coaches!A29, Seasons!F:F)</f>
        <v>0</v>
      </c>
      <c r="F29" s="1">
        <f>SUMIF(Seasons!A:A, Coaches!A29, Seasons!G:G)</f>
        <v>0</v>
      </c>
      <c r="G29" s="1" t="str">
        <f t="shared" si="1"/>
        <v>0-5</v>
      </c>
      <c r="H29" s="1" t="str">
        <f>IFERROR(__xludf.DUMMYFUNCTION("JOIN("", "", UNIQUE(FILTER(Seasons!C:C, Seasons!A:A = Coaches!A29)))"),"Abilene")</f>
        <v>Abilene</v>
      </c>
      <c r="I29" s="1"/>
      <c r="J29" s="2"/>
    </row>
    <row r="30">
      <c r="A30" s="1" t="s">
        <v>65</v>
      </c>
      <c r="B30" s="1" t="s">
        <v>14</v>
      </c>
      <c r="C30" s="1">
        <f>SUMIF(Seasons!A:A, Coaches!A30, Seasons!D:D)</f>
        <v>20</v>
      </c>
      <c r="D30" s="1">
        <f>SUMIF(Seasons!A:A, Coaches!A30, Seasons!E:E)</f>
        <v>7</v>
      </c>
      <c r="E30" s="1">
        <f>SUMIF(Seasons!A:A, Coaches!A30, Seasons!F:F)</f>
        <v>2</v>
      </c>
      <c r="F30" s="1">
        <f>SUMIF(Seasons!A:A, Coaches!A30, Seasons!G:G)</f>
        <v>2</v>
      </c>
      <c r="G30" s="1" t="str">
        <f t="shared" si="1"/>
        <v>22-9</v>
      </c>
      <c r="H30" s="1" t="str">
        <f>IFERROR(__xludf.DUMMYFUNCTION("JOIN("", "", UNIQUE(FILTER(Seasons!C:C, Seasons!A:A = Coaches!A30)))"),"San Angelo, Frisco")</f>
        <v>San Angelo, Frisco</v>
      </c>
      <c r="I30" s="1"/>
      <c r="J30" s="2"/>
    </row>
    <row r="31">
      <c r="A31" s="1" t="s">
        <v>66</v>
      </c>
      <c r="B31" s="1" t="s">
        <v>14</v>
      </c>
      <c r="C31" s="1">
        <f>SUMIF(Seasons!A:A, Coaches!A31, Seasons!D:D)</f>
        <v>2</v>
      </c>
      <c r="D31" s="1">
        <f>SUMIF(Seasons!A:A, Coaches!A31, Seasons!E:E)</f>
        <v>12</v>
      </c>
      <c r="E31" s="1">
        <f>SUMIF(Seasons!A:A, Coaches!A31, Seasons!F:F)</f>
        <v>0</v>
      </c>
      <c r="F31" s="1">
        <f>SUMIF(Seasons!A:A, Coaches!A31, Seasons!G:G)</f>
        <v>0</v>
      </c>
      <c r="G31" s="1" t="str">
        <f t="shared" si="1"/>
        <v>2-12</v>
      </c>
      <c r="H31" s="1" t="str">
        <f>IFERROR(__xludf.DUMMYFUNCTION("JOIN("", "", UNIQUE(FILTER(Seasons!C:C, Seasons!A:A = Coaches!A31)))"),"Austin")</f>
        <v>Austin</v>
      </c>
      <c r="I31" s="1"/>
      <c r="J31" s="2"/>
    </row>
    <row r="32">
      <c r="A32" s="1" t="s">
        <v>68</v>
      </c>
      <c r="B32" s="1" t="s">
        <v>14</v>
      </c>
      <c r="C32" s="1">
        <f>SUMIF(Seasons!A:A, Coaches!A32, Seasons!D:D)</f>
        <v>1</v>
      </c>
      <c r="D32" s="1">
        <f>SUMIF(Seasons!A:A, Coaches!A32, Seasons!E:E)</f>
        <v>5</v>
      </c>
      <c r="E32" s="1">
        <f>SUMIF(Seasons!A:A, Coaches!A32, Seasons!F:F)</f>
        <v>0</v>
      </c>
      <c r="F32" s="1">
        <f>SUMIF(Seasons!A:A, Coaches!A32, Seasons!G:G)</f>
        <v>0</v>
      </c>
      <c r="G32" s="1" t="str">
        <f t="shared" si="1"/>
        <v>1-5</v>
      </c>
      <c r="H32" s="1" t="str">
        <f>IFERROR(__xludf.DUMMYFUNCTION("JOIN("", "", UNIQUE(FILTER(Seasons!C:C, Seasons!A:A = Coaches!A32)))"),"Kent")</f>
        <v>Kent</v>
      </c>
      <c r="I32" s="1"/>
      <c r="J32" s="2"/>
    </row>
    <row r="33">
      <c r="A33" s="1" t="s">
        <v>25</v>
      </c>
      <c r="B33" s="1" t="s">
        <v>14</v>
      </c>
      <c r="C33" s="1">
        <f>SUMIF(Seasons!A:A, Coaches!A33, Seasons!D:D)</f>
        <v>2</v>
      </c>
      <c r="D33" s="1">
        <f>SUMIF(Seasons!A:A, Coaches!A33, Seasons!E:E)</f>
        <v>11</v>
      </c>
      <c r="E33" s="1">
        <f>SUMIF(Seasons!A:A, Coaches!A33, Seasons!F:F)</f>
        <v>0</v>
      </c>
      <c r="F33" s="1">
        <f>SUMIF(Seasons!A:A, Coaches!A33, Seasons!G:G)</f>
        <v>0</v>
      </c>
      <c r="G33" s="1" t="str">
        <f t="shared" si="1"/>
        <v>2-11</v>
      </c>
      <c r="H33" s="1" t="str">
        <f>IFERROR(__xludf.DUMMYFUNCTION("JOIN("", "", UNIQUE(FILTER(Seasons!C:C, Seasons!A:A = Coaches!A33)))"),"Saginaw")</f>
        <v>Saginaw</v>
      </c>
      <c r="I33" s="1"/>
      <c r="J33" s="2"/>
    </row>
    <row r="34">
      <c r="A34" s="1" t="s">
        <v>187</v>
      </c>
      <c r="B34" s="1" t="s">
        <v>14</v>
      </c>
      <c r="C34" s="1">
        <f>SUMIF(Seasons!A:A, Coaches!A34, Seasons!D:D)</f>
        <v>3</v>
      </c>
      <c r="D34" s="1">
        <f>SUMIF(Seasons!A:A, Coaches!A34, Seasons!E:E)</f>
        <v>13</v>
      </c>
      <c r="E34" s="1">
        <f>SUMIF(Seasons!A:A, Coaches!A34, Seasons!F:F)</f>
        <v>0</v>
      </c>
      <c r="F34" s="1">
        <f>SUMIF(Seasons!A:A, Coaches!A34, Seasons!G:G)</f>
        <v>0</v>
      </c>
      <c r="G34" s="1" t="str">
        <f t="shared" si="1"/>
        <v>3-13</v>
      </c>
      <c r="H34" s="1" t="str">
        <f>IFERROR(__xludf.DUMMYFUNCTION("JOIN("", "", UNIQUE(FILTER(Seasons!C:C, Seasons!A:A = Coaches!A34)))"),"Sioux Falls")</f>
        <v>Sioux Falls</v>
      </c>
      <c r="I34" s="1"/>
      <c r="J34" s="2"/>
    </row>
    <row r="35">
      <c r="A35" s="1" t="s">
        <v>27</v>
      </c>
      <c r="B35" s="1" t="s">
        <v>14</v>
      </c>
      <c r="C35" s="1">
        <f>SUMIF(Seasons!A:A, Coaches!A35, Seasons!D:D)</f>
        <v>11</v>
      </c>
      <c r="D35" s="1">
        <f>SUMIF(Seasons!A:A, Coaches!A35, Seasons!E:E)</f>
        <v>17</v>
      </c>
      <c r="E35" s="1">
        <f>SUMIF(Seasons!A:A, Coaches!A35, Seasons!F:F)</f>
        <v>0</v>
      </c>
      <c r="F35" s="1">
        <f>SUMIF(Seasons!A:A, Coaches!A35, Seasons!G:G)</f>
        <v>1</v>
      </c>
      <c r="G35" s="1" t="str">
        <f t="shared" si="1"/>
        <v>11-18</v>
      </c>
      <c r="H35" s="1" t="str">
        <f>IFERROR(__xludf.DUMMYFUNCTION("JOIN("", "", UNIQUE(FILTER(Seasons!C:C, Seasons!A:A = Coaches!A35)))"),"Corpus Christi")</f>
        <v>Corpus Christi</v>
      </c>
      <c r="I35" s="1"/>
      <c r="J35" s="2"/>
    </row>
    <row r="36">
      <c r="A36" s="1" t="s">
        <v>73</v>
      </c>
      <c r="B36" s="1" t="s">
        <v>14</v>
      </c>
      <c r="C36" s="1">
        <f>SUMIF(Seasons!A:A, Coaches!A36, Seasons!D:D)</f>
        <v>5</v>
      </c>
      <c r="D36" s="1">
        <f>SUMIF(Seasons!A:A, Coaches!A36, Seasons!E:E)</f>
        <v>9</v>
      </c>
      <c r="E36" s="1">
        <f>SUMIF(Seasons!A:A, Coaches!A36, Seasons!F:F)</f>
        <v>0</v>
      </c>
      <c r="F36" s="1">
        <f>SUMIF(Seasons!A:A, Coaches!A36, Seasons!G:G)</f>
        <v>0</v>
      </c>
      <c r="G36" s="1" t="str">
        <f t="shared" si="1"/>
        <v>5-9</v>
      </c>
      <c r="H36" s="1" t="str">
        <f>IFERROR(__xludf.DUMMYFUNCTION("JOIN("", "", UNIQUE(FILTER(Seasons!C:C, Seasons!A:A = Coaches!A36)))"),"W. Michigan")</f>
        <v>W. Michigan</v>
      </c>
      <c r="I36" s="1"/>
      <c r="J36" s="2"/>
    </row>
    <row r="37">
      <c r="A37" s="1" t="s">
        <v>94</v>
      </c>
      <c r="B37" s="1" t="s">
        <v>14</v>
      </c>
      <c r="C37" s="1">
        <f>SUMIF(Seasons!A:A, Coaches!A37, Seasons!D:D)</f>
        <v>27</v>
      </c>
      <c r="D37" s="1">
        <f>SUMIF(Seasons!A:A, Coaches!A37, Seasons!E:E)</f>
        <v>21</v>
      </c>
      <c r="E37" s="1">
        <f>SUMIF(Seasons!A:A, Coaches!A37, Seasons!F:F)</f>
        <v>1</v>
      </c>
      <c r="F37" s="1">
        <f>SUMIF(Seasons!A:A, Coaches!A37, Seasons!G:G)</f>
        <v>2</v>
      </c>
      <c r="G37" s="1" t="str">
        <f t="shared" si="1"/>
        <v>28-23</v>
      </c>
      <c r="H37" s="1" t="str">
        <f>IFERROR(__xludf.DUMMYFUNCTION("JOIN("", "", UNIQUE(FILTER(Seasons!C:C, Seasons!A:A = Coaches!A37)))"),"Fairbanks, Green Bay, Bemidji")</f>
        <v>Fairbanks, Green Bay, Bemidji</v>
      </c>
      <c r="I37" s="1"/>
      <c r="J37" s="2"/>
    </row>
    <row r="38">
      <c r="A38" s="1" t="s">
        <v>183</v>
      </c>
      <c r="B38" s="1" t="s">
        <v>153</v>
      </c>
      <c r="C38" s="1">
        <f>SUMIF(Seasons!A:A, Coaches!A38, Seasons!D:D)</f>
        <v>16</v>
      </c>
      <c r="D38" s="1">
        <f>SUMIF(Seasons!A:A, Coaches!A38, Seasons!E:E)</f>
        <v>15</v>
      </c>
      <c r="E38" s="1">
        <f>SUMIF(Seasons!A:A, Coaches!A38, Seasons!F:F)</f>
        <v>1</v>
      </c>
      <c r="F38" s="1">
        <f>SUMIF(Seasons!A:A, Coaches!A38, Seasons!G:G)</f>
        <v>1</v>
      </c>
      <c r="G38" s="1" t="str">
        <f t="shared" si="1"/>
        <v>17-16</v>
      </c>
      <c r="H38" s="1" t="str">
        <f>IFERROR(__xludf.DUMMYFUNCTION("JOIN("", "", UNIQUE(FILTER(Seasons!C:C, Seasons!A:A = Coaches!A38)))"),"San Diego")</f>
        <v>San Diego</v>
      </c>
      <c r="I38" s="1"/>
      <c r="J38" s="2" t="s">
        <v>201</v>
      </c>
    </row>
    <row r="39">
      <c r="A39" s="5" t="s">
        <v>188</v>
      </c>
      <c r="B39" s="1" t="s">
        <v>189</v>
      </c>
      <c r="C39" s="1">
        <f>SUMIF(Seasons!A:A, Coaches!A39, Seasons!D:D)</f>
        <v>5</v>
      </c>
      <c r="D39" s="1">
        <f>SUMIF(Seasons!A:A, Coaches!A39, Seasons!E:E)</f>
        <v>11</v>
      </c>
      <c r="E39" s="1">
        <f>SUMIF(Seasons!A:A, Coaches!A39, Seasons!F:F)</f>
        <v>0</v>
      </c>
      <c r="F39" s="1">
        <f>SUMIF(Seasons!A:A, Coaches!A39, Seasons!G:G)</f>
        <v>0</v>
      </c>
      <c r="G39" s="1" t="str">
        <f t="shared" si="1"/>
        <v>5-11</v>
      </c>
      <c r="H39" s="1" t="str">
        <f>IFERROR(__xludf.DUMMYFUNCTION("JOIN("", "", UNIQUE(FILTER(Seasons!C:C, Seasons!A:A = Coaches!A39)))"),"Jacksonville")</f>
        <v>Jacksonville</v>
      </c>
      <c r="I39" s="6"/>
      <c r="J39" s="2" t="s">
        <v>202</v>
      </c>
    </row>
    <row r="40">
      <c r="A40" s="1" t="s">
        <v>178</v>
      </c>
      <c r="B40" s="1" t="s">
        <v>14</v>
      </c>
      <c r="C40" s="1">
        <f>SUMIF(Seasons!A:A, Coaches!A40, Seasons!D:D)</f>
        <v>8</v>
      </c>
      <c r="D40" s="1">
        <f>SUMIF(Seasons!A:A, Coaches!A40, Seasons!E:E)</f>
        <v>23</v>
      </c>
      <c r="E40" s="1">
        <f>SUMIF(Seasons!A:A, Coaches!A40, Seasons!F:F)</f>
        <v>0</v>
      </c>
      <c r="F40" s="1">
        <f>SUMIF(Seasons!A:A, Coaches!A40, Seasons!G:G)</f>
        <v>1</v>
      </c>
      <c r="G40" s="1" t="str">
        <f t="shared" si="1"/>
        <v>8-24</v>
      </c>
      <c r="H40" s="1" t="str">
        <f>IFERROR(__xludf.DUMMYFUNCTION("JOIN("", "", UNIQUE(FILTER(Seasons!C:C, Seasons!A:A = Coaches!A40)))"),"Duke City")</f>
        <v>Duke City</v>
      </c>
      <c r="I40" s="1"/>
      <c r="J40" s="2"/>
    </row>
    <row r="41">
      <c r="A41" s="1" t="s">
        <v>152</v>
      </c>
      <c r="B41" s="1" t="s">
        <v>14</v>
      </c>
      <c r="C41" s="1">
        <f>SUMIF(Seasons!A:A, Coaches!A41, Seasons!D:D)</f>
        <v>2</v>
      </c>
      <c r="D41" s="1">
        <f>SUMIF(Seasons!A:A, Coaches!A41, Seasons!E:E)</f>
        <v>13</v>
      </c>
      <c r="E41" s="1">
        <f>SUMIF(Seasons!A:A, Coaches!A41, Seasons!F:F)</f>
        <v>0</v>
      </c>
      <c r="F41" s="1">
        <f>SUMIF(Seasons!A:A, Coaches!A41, Seasons!G:G)</f>
        <v>0</v>
      </c>
      <c r="G41" s="1" t="str">
        <f t="shared" si="1"/>
        <v>2-13</v>
      </c>
      <c r="H41" s="1" t="str">
        <f>IFERROR(__xludf.DUMMYFUNCTION("JOIN("", "", UNIQUE(FILTER(Seasons!C:C, Seasons!A:A = Coaches!A41)))"),"San Diego")</f>
        <v>San Diego</v>
      </c>
      <c r="I41" s="1"/>
      <c r="J41" s="2"/>
    </row>
    <row r="42">
      <c r="A42" s="1" t="s">
        <v>143</v>
      </c>
      <c r="B42" s="1" t="s">
        <v>103</v>
      </c>
      <c r="C42" s="1">
        <f>SUMIF(Seasons!A:A, Coaches!A42, Seasons!D:D)</f>
        <v>84</v>
      </c>
      <c r="D42" s="1">
        <f>SUMIF(Seasons!A:A, Coaches!A42, Seasons!E:E)</f>
        <v>21</v>
      </c>
      <c r="E42" s="1">
        <f>SUMIF(Seasons!A:A, Coaches!A42, Seasons!F:F)</f>
        <v>9</v>
      </c>
      <c r="F42" s="1">
        <f>SUMIF(Seasons!A:A, Coaches!A42, Seasons!G:G)</f>
        <v>5</v>
      </c>
      <c r="G42" s="1" t="str">
        <f t="shared" si="1"/>
        <v>93-26</v>
      </c>
      <c r="H42" s="1" t="str">
        <f>IFERROR(__xludf.DUMMYFUNCTION("JOIN("", "", UNIQUE(FILTER(Seasons!C:C, Seasons!A:A = Coaches!A42)))"),"Arizona")</f>
        <v>Arizona</v>
      </c>
      <c r="I42" s="1"/>
      <c r="J42" s="2" t="s">
        <v>203</v>
      </c>
    </row>
    <row r="43">
      <c r="A43" s="1" t="s">
        <v>95</v>
      </c>
      <c r="B43" s="1" t="s">
        <v>14</v>
      </c>
      <c r="C43" s="1">
        <f>SUMIF(Seasons!A:A, Coaches!A43, Seasons!D:D)</f>
        <v>3</v>
      </c>
      <c r="D43" s="1">
        <f>SUMIF(Seasons!A:A, Coaches!A43, Seasons!E:E)</f>
        <v>11</v>
      </c>
      <c r="E43" s="1">
        <f>SUMIF(Seasons!A:A, Coaches!A43, Seasons!F:F)</f>
        <v>0</v>
      </c>
      <c r="F43" s="1">
        <f>SUMIF(Seasons!A:A, Coaches!A43, Seasons!G:G)</f>
        <v>0</v>
      </c>
      <c r="G43" s="1" t="str">
        <f t="shared" si="1"/>
        <v>3-11</v>
      </c>
      <c r="H43" s="1" t="str">
        <f>IFERROR(__xludf.DUMMYFUNCTION("JOIN("", "", UNIQUE(FILTER(Seasons!C:C, Seasons!A:A = Coaches!A43)))"),"Richmond")</f>
        <v>Richmond</v>
      </c>
      <c r="I43" s="1"/>
      <c r="J43" s="2"/>
    </row>
    <row r="44">
      <c r="A44" s="1" t="s">
        <v>196</v>
      </c>
      <c r="B44" s="1" t="s">
        <v>170</v>
      </c>
      <c r="C44" s="1">
        <v>0.0</v>
      </c>
      <c r="D44" s="1">
        <v>0.0</v>
      </c>
      <c r="E44" s="1">
        <v>0.0</v>
      </c>
      <c r="F44" s="1">
        <v>0.0</v>
      </c>
      <c r="G44" s="1" t="str">
        <f t="shared" si="1"/>
        <v>0-0</v>
      </c>
      <c r="H44" s="1" t="str">
        <f>IFERROR(__xludf.DUMMYFUNCTION("JOIN("", "", UNIQUE(FILTER(Seasons!C:C, Seasons!A:A = Coaches!A44)))"),"Massachusetts")</f>
        <v>Massachusetts</v>
      </c>
      <c r="I44" s="1"/>
      <c r="J44" s="2"/>
    </row>
    <row r="45">
      <c r="A45" s="1" t="s">
        <v>194</v>
      </c>
      <c r="B45" s="1" t="s">
        <v>162</v>
      </c>
      <c r="C45" s="1">
        <f>SUMIF(Seasons!A:A, Coaches!A45, Seasons!D:D)</f>
        <v>0</v>
      </c>
      <c r="D45" s="1">
        <f>SUMIF(Seasons!A:A, Coaches!A45, Seasons!E:E)</f>
        <v>0</v>
      </c>
      <c r="E45" s="1">
        <f>SUMIF(Seasons!A:A, Coaches!A45, Seasons!F:F)</f>
        <v>0</v>
      </c>
      <c r="F45" s="1">
        <f>SUMIF(Seasons!A:A, Coaches!A45, Seasons!G:G)</f>
        <v>0</v>
      </c>
      <c r="G45" s="1" t="str">
        <f t="shared" si="1"/>
        <v>0-0</v>
      </c>
      <c r="H45" s="1" t="str">
        <f>IFERROR(__xludf.DUMMYFUNCTION("JOIN("", "", UNIQUE(FILTER(Seasons!C:C, Seasons!A:A = Coaches!A45)))"),"Northern Arizona")</f>
        <v>Northern Arizona</v>
      </c>
      <c r="I45" s="1"/>
      <c r="J45" s="2" t="s">
        <v>204</v>
      </c>
    </row>
    <row r="46">
      <c r="A46" s="1" t="s">
        <v>144</v>
      </c>
      <c r="B46" s="1" t="s">
        <v>14</v>
      </c>
      <c r="C46" s="1">
        <f>SUMIF(Seasons!A:A, Coaches!A46, Seasons!D:D)</f>
        <v>2</v>
      </c>
      <c r="D46" s="1">
        <f>SUMIF(Seasons!A:A, Coaches!A46, Seasons!E:E)</f>
        <v>6</v>
      </c>
      <c r="E46" s="1">
        <f>SUMIF(Seasons!A:A, Coaches!A46, Seasons!F:F)</f>
        <v>0</v>
      </c>
      <c r="F46" s="1">
        <f>SUMIF(Seasons!A:A, Coaches!A46, Seasons!G:G)</f>
        <v>0</v>
      </c>
      <c r="G46" s="1" t="str">
        <f t="shared" si="1"/>
        <v>2-6</v>
      </c>
      <c r="H46" s="1" t="str">
        <f>IFERROR(__xludf.DUMMYFUNCTION("JOIN("", "", UNIQUE(FILTER(Seasons!C:C, Seasons!A:A = Coaches!A46)))"),"Colorado")</f>
        <v>Colorado</v>
      </c>
      <c r="I46" s="1"/>
      <c r="J46" s="2"/>
    </row>
    <row r="47">
      <c r="A47" s="1" t="s">
        <v>29</v>
      </c>
      <c r="B47" s="1" t="s">
        <v>14</v>
      </c>
      <c r="C47" s="1">
        <f>SUMIF(Seasons!A:A, Coaches!A47, Seasons!D:D)</f>
        <v>0</v>
      </c>
      <c r="D47" s="1">
        <f>SUMIF(Seasons!A:A, Coaches!A47, Seasons!E:E)</f>
        <v>8</v>
      </c>
      <c r="E47" s="1">
        <f>SUMIF(Seasons!A:A, Coaches!A47, Seasons!F:F)</f>
        <v>0</v>
      </c>
      <c r="F47" s="1">
        <f>SUMIF(Seasons!A:A, Coaches!A47, Seasons!G:G)</f>
        <v>0</v>
      </c>
      <c r="G47" s="1" t="str">
        <f t="shared" si="1"/>
        <v>0-8</v>
      </c>
      <c r="H47" s="1" t="str">
        <f>IFERROR(__xludf.DUMMYFUNCTION("JOIN("", "", UNIQUE(FILTER(Seasons!C:C, Seasons!A:A = Coaches!A47)))"),"Alaska")</f>
        <v>Alaska</v>
      </c>
      <c r="I47" s="1"/>
      <c r="J47" s="2"/>
    </row>
    <row r="48">
      <c r="A48" s="1" t="s">
        <v>145</v>
      </c>
      <c r="B48" s="1" t="s">
        <v>184</v>
      </c>
      <c r="C48" s="1">
        <f>SUMIF(Seasons!A:A, Coaches!A48, Seasons!D:D)</f>
        <v>12</v>
      </c>
      <c r="D48" s="1">
        <f>SUMIF(Seasons!A:A, Coaches!A48, Seasons!E:E)</f>
        <v>41</v>
      </c>
      <c r="E48" s="1">
        <f>SUMIF(Seasons!A:A, Coaches!A48, Seasons!F:F)</f>
        <v>0</v>
      </c>
      <c r="F48" s="1">
        <f>SUMIF(Seasons!A:A, Coaches!A48, Seasons!G:G)</f>
        <v>0</v>
      </c>
      <c r="G48" s="1" t="str">
        <f t="shared" si="1"/>
        <v>12-41</v>
      </c>
      <c r="H48" s="1" t="str">
        <f>IFERROR(__xludf.DUMMYFUNCTION("JOIN("", "", UNIQUE(FILTER(Seasons!C:C, Seasons!A:A = Coaches!A48)))"),"Colorado, Cedar Rapids, Tulsa")</f>
        <v>Colorado, Cedar Rapids, Tulsa</v>
      </c>
      <c r="I48" s="1"/>
      <c r="J48" s="2" t="s">
        <v>205</v>
      </c>
    </row>
    <row r="49">
      <c r="A49" s="1" t="s">
        <v>185</v>
      </c>
      <c r="B49" s="1" t="s">
        <v>174</v>
      </c>
      <c r="C49" s="1">
        <f>SUMIF(Seasons!A:A, Coaches!A49, Seasons!D:D)</f>
        <v>20</v>
      </c>
      <c r="D49" s="1">
        <f>SUMIF(Seasons!A:A, Coaches!A49, Seasons!E:E)</f>
        <v>6</v>
      </c>
      <c r="E49" s="1">
        <f>SUMIF(Seasons!A:A, Coaches!A49, Seasons!F:F)</f>
        <v>3</v>
      </c>
      <c r="F49" s="1">
        <f>SUMIF(Seasons!A:A, Coaches!A49, Seasons!G:G)</f>
        <v>1</v>
      </c>
      <c r="G49" s="1" t="str">
        <f t="shared" si="1"/>
        <v>23-7</v>
      </c>
      <c r="H49" s="1" t="str">
        <f>IFERROR(__xludf.DUMMYFUNCTION("JOIN("", "", UNIQUE(FILTER(Seasons!C:C, Seasons!A:A = Coaches!A49)))"),"Bay Area")</f>
        <v>Bay Area</v>
      </c>
      <c r="I49" s="1"/>
      <c r="J49" s="2" t="s">
        <v>206</v>
      </c>
    </row>
    <row r="50">
      <c r="A50" s="1" t="s">
        <v>165</v>
      </c>
      <c r="B50" s="1" t="s">
        <v>14</v>
      </c>
      <c r="C50" s="1">
        <f>SUMIF(Seasons!A:A, Coaches!A50, Seasons!D:D)</f>
        <v>5</v>
      </c>
      <c r="D50" s="1">
        <f>SUMIF(Seasons!A:A, Coaches!A50, Seasons!E:E)</f>
        <v>3</v>
      </c>
      <c r="E50" s="1">
        <f>SUMIF(Seasons!A:A, Coaches!A50, Seasons!F:F)</f>
        <v>1</v>
      </c>
      <c r="F50" s="1">
        <f>SUMIF(Seasons!A:A, Coaches!A50, Seasons!G:G)</f>
        <v>1</v>
      </c>
      <c r="G50" s="1" t="str">
        <f t="shared" si="1"/>
        <v>6-4</v>
      </c>
      <c r="H50" s="1" t="str">
        <f>IFERROR(__xludf.DUMMYFUNCTION("JOIN("", "", UNIQUE(FILTER(Seasons!C:C, Seasons!A:A = Coaches!A50)))"),"Duke City")</f>
        <v>Duke City</v>
      </c>
      <c r="I50" s="1"/>
      <c r="J50" s="2"/>
    </row>
    <row r="51">
      <c r="A51" s="1" t="s">
        <v>31</v>
      </c>
      <c r="B51" s="1" t="s">
        <v>14</v>
      </c>
      <c r="C51" s="1">
        <f>SUMIF(Seasons!A:A, Coaches!A51, Seasons!D:D)</f>
        <v>19</v>
      </c>
      <c r="D51" s="1">
        <f>SUMIF(Seasons!A:A, Coaches!A51, Seasons!E:E)</f>
        <v>15</v>
      </c>
      <c r="E51" s="1">
        <f>SUMIF(Seasons!A:A, Coaches!A51, Seasons!F:F)</f>
        <v>1</v>
      </c>
      <c r="F51" s="1">
        <f>SUMIF(Seasons!A:A, Coaches!A51, Seasons!G:G)</f>
        <v>1</v>
      </c>
      <c r="G51" s="1" t="str">
        <f t="shared" si="1"/>
        <v>20-16</v>
      </c>
      <c r="H51" s="1" t="str">
        <f>IFERROR(__xludf.DUMMYFUNCTION("JOIN("", "", UNIQUE(FILTER(Seasons!C:C, Seasons!A:A = Coaches!A51)))"),"Omaha, Wichita Falls")</f>
        <v>Omaha, Wichita Falls</v>
      </c>
      <c r="I51" s="1"/>
      <c r="J51" s="2"/>
    </row>
    <row r="52">
      <c r="A52" s="1" t="s">
        <v>179</v>
      </c>
      <c r="B52" s="1" t="s">
        <v>14</v>
      </c>
      <c r="C52" s="1">
        <f>SUMIF(Seasons!A:A, Coaches!A52, Seasons!D:D)</f>
        <v>11</v>
      </c>
      <c r="D52" s="1">
        <f>SUMIF(Seasons!A:A, Coaches!A52, Seasons!E:E)</f>
        <v>5</v>
      </c>
      <c r="E52" s="1">
        <f>SUMIF(Seasons!A:A, Coaches!A52, Seasons!F:F)</f>
        <v>0</v>
      </c>
      <c r="F52" s="1">
        <f>SUMIF(Seasons!A:A, Coaches!A52, Seasons!G:G)</f>
        <v>1</v>
      </c>
      <c r="G52" s="1" t="str">
        <f t="shared" si="1"/>
        <v>11-6</v>
      </c>
      <c r="H52" s="1" t="str">
        <f>IFERROR(__xludf.DUMMYFUNCTION("JOIN("", "", UNIQUE(FILTER(Seasons!C:C, Seasons!A:A = Coaches!A52)))"),"Massachusetts")</f>
        <v>Massachusetts</v>
      </c>
      <c r="I52" s="1"/>
      <c r="J52" s="2"/>
    </row>
    <row r="53">
      <c r="A53" s="1" t="s">
        <v>75</v>
      </c>
      <c r="B53" s="1" t="s">
        <v>14</v>
      </c>
      <c r="C53" s="1">
        <f>SUMIF(Seasons!A:A, Coaches!A53, Seasons!D:D)</f>
        <v>2</v>
      </c>
      <c r="D53" s="1">
        <f>SUMIF(Seasons!A:A, Coaches!A53, Seasons!E:E)</f>
        <v>12</v>
      </c>
      <c r="E53" s="1">
        <f>SUMIF(Seasons!A:A, Coaches!A53, Seasons!F:F)</f>
        <v>0</v>
      </c>
      <c r="F53" s="1">
        <f>SUMIF(Seasons!A:A, Coaches!A53, Seasons!G:G)</f>
        <v>0</v>
      </c>
      <c r="G53" s="1" t="str">
        <f t="shared" si="1"/>
        <v>2-12</v>
      </c>
      <c r="H53" s="1" t="str">
        <f>IFERROR(__xludf.DUMMYFUNCTION("JOIN("", "", UNIQUE(FILTER(Seasons!C:C, Seasons!A:A = Coaches!A53)))"),"Alaska")</f>
        <v>Alaska</v>
      </c>
      <c r="I53" s="1"/>
      <c r="J53" s="2"/>
    </row>
    <row r="54">
      <c r="A54" s="1" t="s">
        <v>127</v>
      </c>
      <c r="B54" s="1" t="s">
        <v>14</v>
      </c>
      <c r="C54" s="1">
        <f>SUMIF(Seasons!A:A, Coaches!A54, Seasons!D:D)</f>
        <v>5</v>
      </c>
      <c r="D54" s="1">
        <f>SUMIF(Seasons!A:A, Coaches!A54, Seasons!E:E)</f>
        <v>39</v>
      </c>
      <c r="E54" s="1">
        <f>SUMIF(Seasons!A:A, Coaches!A54, Seasons!F:F)</f>
        <v>0</v>
      </c>
      <c r="F54" s="1">
        <f>SUMIF(Seasons!A:A, Coaches!A54, Seasons!G:G)</f>
        <v>0</v>
      </c>
      <c r="G54" s="1" t="str">
        <f t="shared" si="1"/>
        <v>5-39</v>
      </c>
      <c r="H54" s="1" t="str">
        <f>IFERROR(__xludf.DUMMYFUNCTION("JOIN("", "", UNIQUE(FILTER(Seasons!C:C, Seasons!A:A = Coaches!A54)))"),"Wyoming, Tri-Cities")</f>
        <v>Wyoming, Tri-Cities</v>
      </c>
      <c r="I54" s="1"/>
      <c r="J54" s="2"/>
    </row>
    <row r="55">
      <c r="A55" s="1" t="s">
        <v>191</v>
      </c>
      <c r="B55" s="1" t="s">
        <v>14</v>
      </c>
      <c r="C55" s="1">
        <f>SUMIF(Seasons!A:A, Coaches!A55, Seasons!D:D)</f>
        <v>2</v>
      </c>
      <c r="D55" s="1">
        <f>SUMIF(Seasons!A:A, Coaches!A55, Seasons!E:E)</f>
        <v>3</v>
      </c>
      <c r="E55" s="1">
        <f>SUMIF(Seasons!A:A, Coaches!A55, Seasons!F:F)</f>
        <v>0</v>
      </c>
      <c r="F55" s="1">
        <f>SUMIF(Seasons!A:A, Coaches!A55, Seasons!G:G)</f>
        <v>0</v>
      </c>
      <c r="G55" s="1" t="str">
        <f t="shared" si="1"/>
        <v>2-3</v>
      </c>
      <c r="H55" s="1" t="str">
        <f>IFERROR(__xludf.DUMMYFUNCTION("JOIN("", "", UNIQUE(FILTER(Seasons!C:C, Seasons!A:A = Coaches!A55)))"),"Duke City")</f>
        <v>Duke City</v>
      </c>
      <c r="I55" s="1"/>
      <c r="J55" s="2"/>
    </row>
    <row r="56">
      <c r="A56" s="1" t="s">
        <v>96</v>
      </c>
      <c r="B56" s="1" t="s">
        <v>14</v>
      </c>
      <c r="C56" s="1">
        <f>SUMIF(Seasons!A:A, Coaches!A56, Seasons!D:D)</f>
        <v>14</v>
      </c>
      <c r="D56" s="1">
        <f>SUMIF(Seasons!A:A, Coaches!A56, Seasons!E:E)</f>
        <v>9</v>
      </c>
      <c r="E56" s="1">
        <f>SUMIF(Seasons!A:A, Coaches!A56, Seasons!F:F)</f>
        <v>1</v>
      </c>
      <c r="F56" s="1">
        <f>SUMIF(Seasons!A:A, Coaches!A56, Seasons!G:G)</f>
        <v>1</v>
      </c>
      <c r="G56" s="1" t="str">
        <f t="shared" si="1"/>
        <v>15-10</v>
      </c>
      <c r="H56" s="1" t="str">
        <f>IFERROR(__xludf.DUMMYFUNCTION("JOIN("", "", UNIQUE(FILTER(Seasons!C:C, Seasons!A:A = Coaches!A56)))"),"Wichita")</f>
        <v>Wichita</v>
      </c>
      <c r="I56" s="1"/>
      <c r="J56" s="2"/>
    </row>
    <row r="57">
      <c r="A57" s="1" t="s">
        <v>33</v>
      </c>
      <c r="B57" s="1" t="s">
        <v>14</v>
      </c>
      <c r="C57" s="1">
        <f>SUMIF(Seasons!A:A, Coaches!A57, Seasons!D:D)</f>
        <v>18</v>
      </c>
      <c r="D57" s="1">
        <f>SUMIF(Seasons!A:A, Coaches!A57, Seasons!E:E)</f>
        <v>10</v>
      </c>
      <c r="E57" s="1">
        <f>SUMIF(Seasons!A:A, Coaches!A57, Seasons!F:F)</f>
        <v>1</v>
      </c>
      <c r="F57" s="1">
        <f>SUMIF(Seasons!A:A, Coaches!A57, Seasons!G:G)</f>
        <v>2</v>
      </c>
      <c r="G57" s="1" t="str">
        <f t="shared" si="1"/>
        <v>19-12</v>
      </c>
      <c r="H57" s="1" t="str">
        <f>IFERROR(__xludf.DUMMYFUNCTION("JOIN("", "", UNIQUE(FILTER(Seasons!C:C, Seasons!A:A = Coaches!A57)))"),"Rochester")</f>
        <v>Rochester</v>
      </c>
      <c r="I57" s="1"/>
      <c r="J57" s="2"/>
    </row>
    <row r="58">
      <c r="A58" s="1" t="s">
        <v>35</v>
      </c>
      <c r="B58" s="1" t="s">
        <v>14</v>
      </c>
      <c r="C58" s="1">
        <f>SUMIF(Seasons!A:A, Coaches!A58, Seasons!D:D)</f>
        <v>1</v>
      </c>
      <c r="D58" s="1">
        <f>SUMIF(Seasons!A:A, Coaches!A58, Seasons!E:E)</f>
        <v>0</v>
      </c>
      <c r="E58" s="1">
        <f>SUMIF(Seasons!A:A, Coaches!A58, Seasons!F:F)</f>
        <v>0</v>
      </c>
      <c r="F58" s="1">
        <f>SUMIF(Seasons!A:A, Coaches!A58, Seasons!G:G)</f>
        <v>0</v>
      </c>
      <c r="G58" s="1" t="str">
        <f t="shared" si="1"/>
        <v>1-0</v>
      </c>
      <c r="H58" s="1" t="str">
        <f>IFERROR(__xludf.DUMMYFUNCTION("JOIN("", "", UNIQUE(FILTER(Seasons!C:C, Seasons!A:A = Coaches!A58)))"),"Saginaw")</f>
        <v>Saginaw</v>
      </c>
      <c r="I58" s="1"/>
      <c r="J58" s="2"/>
    </row>
    <row r="59">
      <c r="A59" s="1" t="s">
        <v>76</v>
      </c>
      <c r="B59" s="1" t="s">
        <v>14</v>
      </c>
      <c r="C59" s="1">
        <f>SUMIF(Seasons!A:A, Coaches!A59, Seasons!D:D)</f>
        <v>11</v>
      </c>
      <c r="D59" s="1">
        <f>SUMIF(Seasons!A:A, Coaches!A59, Seasons!E:E)</f>
        <v>3</v>
      </c>
      <c r="E59" s="1">
        <f>SUMIF(Seasons!A:A, Coaches!A59, Seasons!F:F)</f>
        <v>1</v>
      </c>
      <c r="F59" s="1">
        <f>SUMIF(Seasons!A:A, Coaches!A59, Seasons!G:G)</f>
        <v>1</v>
      </c>
      <c r="G59" s="1" t="str">
        <f t="shared" si="1"/>
        <v>12-4</v>
      </c>
      <c r="H59" s="1" t="str">
        <f>IFERROR(__xludf.DUMMYFUNCTION("JOIN("", "", UNIQUE(FILTER(Seasons!C:C, Seasons!A:A = Coaches!A59)))"),"Amarillo")</f>
        <v>Amarillo</v>
      </c>
      <c r="I59" s="1"/>
      <c r="J59" s="2"/>
    </row>
    <row r="60">
      <c r="A60" s="1" t="s">
        <v>97</v>
      </c>
      <c r="B60" s="1" t="s">
        <v>14</v>
      </c>
      <c r="C60" s="1">
        <f>SUMIF(Seasons!A:A, Coaches!A60, Seasons!D:D)</f>
        <v>13</v>
      </c>
      <c r="D60" s="1">
        <f>SUMIF(Seasons!A:A, Coaches!A60, Seasons!E:E)</f>
        <v>15</v>
      </c>
      <c r="E60" s="1">
        <f>SUMIF(Seasons!A:A, Coaches!A60, Seasons!F:F)</f>
        <v>0</v>
      </c>
      <c r="F60" s="1">
        <f>SUMIF(Seasons!A:A, Coaches!A60, Seasons!G:G)</f>
        <v>1</v>
      </c>
      <c r="G60" s="1" t="str">
        <f t="shared" si="1"/>
        <v>13-16</v>
      </c>
      <c r="H60" s="1" t="str">
        <f>IFERROR(__xludf.DUMMYFUNCTION("JOIN("", "", UNIQUE(FILTER(Seasons!C:C, Seasons!A:A = Coaches!A60)))"),"Wyoming")</f>
        <v>Wyoming</v>
      </c>
      <c r="I60" s="1"/>
      <c r="J60" s="2"/>
    </row>
    <row r="61">
      <c r="A61" s="1" t="s">
        <v>99</v>
      </c>
      <c r="B61" s="1" t="s">
        <v>14</v>
      </c>
      <c r="C61" s="1">
        <f>SUMIF(Seasons!A:A, Coaches!A61, Seasons!D:D)</f>
        <v>10</v>
      </c>
      <c r="D61" s="1">
        <f>SUMIF(Seasons!A:A, Coaches!A61, Seasons!E:E)</f>
        <v>4</v>
      </c>
      <c r="E61" s="1">
        <f>SUMIF(Seasons!A:A, Coaches!A61, Seasons!F:F)</f>
        <v>2</v>
      </c>
      <c r="F61" s="1">
        <f>SUMIF(Seasons!A:A, Coaches!A61, Seasons!G:G)</f>
        <v>1</v>
      </c>
      <c r="G61" s="1" t="str">
        <f t="shared" si="1"/>
        <v>12-5</v>
      </c>
      <c r="H61" s="1" t="str">
        <f>IFERROR(__xludf.DUMMYFUNCTION("JOIN("", "", UNIQUE(FILTER(Seasons!C:C, Seasons!A:A = Coaches!A61)))"),"Allen")</f>
        <v>Allen</v>
      </c>
      <c r="I61" s="1"/>
      <c r="J61" s="2"/>
    </row>
    <row r="62">
      <c r="A62" s="1" t="s">
        <v>161</v>
      </c>
      <c r="B62" s="1" t="s">
        <v>14</v>
      </c>
      <c r="C62" s="1">
        <f>SUMIF(Seasons!A:A, Coaches!A62, Seasons!D:D)</f>
        <v>0</v>
      </c>
      <c r="D62" s="1">
        <f>SUMIF(Seasons!A:A, Coaches!A62, Seasons!E:E)</f>
        <v>1</v>
      </c>
      <c r="E62" s="1">
        <f>SUMIF(Seasons!A:A, Coaches!A62, Seasons!F:F)</f>
        <v>0</v>
      </c>
      <c r="F62" s="1">
        <f>SUMIF(Seasons!A:A, Coaches!A62, Seasons!G:G)</f>
        <v>0</v>
      </c>
      <c r="G62" s="1" t="str">
        <f t="shared" si="1"/>
        <v>0-1</v>
      </c>
      <c r="H62" s="1" t="str">
        <f>IFERROR(__xludf.DUMMYFUNCTION("JOIN("", "", UNIQUE(FILTER(Seasons!C:C, Seasons!A:A = Coaches!A62)))"),"Cedar Rapids")</f>
        <v>Cedar Rapids</v>
      </c>
      <c r="I62" s="1"/>
      <c r="J62" s="2"/>
    </row>
    <row r="63">
      <c r="A63" s="1" t="s">
        <v>36</v>
      </c>
      <c r="B63" s="1" t="s">
        <v>14</v>
      </c>
      <c r="C63" s="1">
        <f>SUMIF(Seasons!A:A, Coaches!A63, Seasons!D:D)</f>
        <v>17</v>
      </c>
      <c r="D63" s="1">
        <f>SUMIF(Seasons!A:A, Coaches!A63, Seasons!E:E)</f>
        <v>16</v>
      </c>
      <c r="E63" s="1">
        <f>SUMIF(Seasons!A:A, Coaches!A63, Seasons!F:F)</f>
        <v>4</v>
      </c>
      <c r="F63" s="1">
        <f>SUMIF(Seasons!A:A, Coaches!A63, Seasons!G:G)</f>
        <v>2</v>
      </c>
      <c r="G63" s="1" t="str">
        <f t="shared" si="1"/>
        <v>21-18</v>
      </c>
      <c r="H63" s="1" t="str">
        <f>IFERROR(__xludf.DUMMYFUNCTION("JOIN("", "", UNIQUE(FILTER(Seasons!C:C, Seasons!A:A = Coaches!A63)))"),"Wichita")</f>
        <v>Wichita</v>
      </c>
      <c r="I63" s="1"/>
      <c r="J63" s="2"/>
    </row>
    <row r="64">
      <c r="A64" s="1" t="s">
        <v>78</v>
      </c>
      <c r="B64" s="1" t="s">
        <v>14</v>
      </c>
      <c r="C64" s="1">
        <f>SUMIF(Seasons!A:A, Coaches!A64, Seasons!D:D)</f>
        <v>8</v>
      </c>
      <c r="D64" s="1">
        <f>SUMIF(Seasons!A:A, Coaches!A64, Seasons!E:E)</f>
        <v>22</v>
      </c>
      <c r="E64" s="1">
        <f>SUMIF(Seasons!A:A, Coaches!A64, Seasons!F:F)</f>
        <v>0</v>
      </c>
      <c r="F64" s="1">
        <f>SUMIF(Seasons!A:A, Coaches!A64, Seasons!G:G)</f>
        <v>0</v>
      </c>
      <c r="G64" s="1" t="str">
        <f t="shared" si="1"/>
        <v>8-22</v>
      </c>
      <c r="H64" s="1" t="str">
        <f>IFERROR(__xludf.DUMMYFUNCTION("JOIN("", "", UNIQUE(FILTER(Seasons!C:C, Seasons!A:A = Coaches!A64)))"),"Kent, Bricktown, Salt Lake")</f>
        <v>Kent, Bricktown, Salt Lake</v>
      </c>
      <c r="I64" s="1"/>
      <c r="J64" s="2"/>
    </row>
    <row r="65">
      <c r="A65" s="1" t="s">
        <v>79</v>
      </c>
      <c r="B65" s="1" t="s">
        <v>14</v>
      </c>
      <c r="C65" s="1">
        <f>SUMIF(Seasons!A:A, Coaches!A65, Seasons!D:D)</f>
        <v>29</v>
      </c>
      <c r="D65" s="1">
        <f>SUMIF(Seasons!A:A, Coaches!A65, Seasons!E:E)</f>
        <v>27</v>
      </c>
      <c r="E65" s="1">
        <f>SUMIF(Seasons!A:A, Coaches!A65, Seasons!F:F)</f>
        <v>1</v>
      </c>
      <c r="F65" s="1">
        <f>SUMIF(Seasons!A:A, Coaches!A65, Seasons!G:G)</f>
        <v>2</v>
      </c>
      <c r="G65" s="1" t="str">
        <f t="shared" si="1"/>
        <v>30-29</v>
      </c>
      <c r="H65" s="1" t="str">
        <f>IFERROR(__xludf.DUMMYFUNCTION("JOIN("", "", UNIQUE(FILTER(Seasons!C:C, Seasons!A:A = Coaches!A65)))"),"Chicago")</f>
        <v>Chicago</v>
      </c>
      <c r="I65" s="1"/>
      <c r="J65" s="2"/>
    </row>
    <row r="66">
      <c r="A66" s="1" t="s">
        <v>148</v>
      </c>
      <c r="B66" s="1" t="s">
        <v>14</v>
      </c>
      <c r="C66" s="1">
        <f>SUMIF(Seasons!A:A, Coaches!A66, Seasons!D:D)</f>
        <v>1</v>
      </c>
      <c r="D66" s="1">
        <f>SUMIF(Seasons!A:A, Coaches!A66, Seasons!E:E)</f>
        <v>15</v>
      </c>
      <c r="E66" s="1">
        <f>SUMIF(Seasons!A:A, Coaches!A66, Seasons!F:F)</f>
        <v>0</v>
      </c>
      <c r="F66" s="1">
        <f>SUMIF(Seasons!A:A, Coaches!A66, Seasons!G:G)</f>
        <v>0</v>
      </c>
      <c r="G66" s="1" t="str">
        <f t="shared" si="1"/>
        <v>1-15</v>
      </c>
      <c r="H66" s="1" t="str">
        <f>IFERROR(__xludf.DUMMYFUNCTION("JOIN("", "", UNIQUE(FILTER(Seasons!C:C, Seasons!A:A = Coaches!A66)))"),"Cedar Rapids")</f>
        <v>Cedar Rapids</v>
      </c>
      <c r="I66" s="1"/>
      <c r="J66" s="2"/>
    </row>
    <row r="67">
      <c r="A67" s="5" t="s">
        <v>192</v>
      </c>
      <c r="B67" s="1" t="s">
        <v>193</v>
      </c>
      <c r="C67" s="1">
        <f>SUMIF(Seasons!A:A, Coaches!A67, Seasons!D:D)</f>
        <v>8</v>
      </c>
      <c r="D67" s="1">
        <f>SUMIF(Seasons!A:A, Coaches!A67, Seasons!E:E)</f>
        <v>8</v>
      </c>
      <c r="E67" s="1">
        <f>SUMIF(Seasons!A:A, Coaches!A67, Seasons!F:F)</f>
        <v>0</v>
      </c>
      <c r="F67" s="1">
        <f>SUMIF(Seasons!A:A, Coaches!A67, Seasons!G:G)</f>
        <v>0</v>
      </c>
      <c r="G67" s="1" t="str">
        <f t="shared" si="1"/>
        <v>8-8</v>
      </c>
      <c r="H67" s="1" t="str">
        <f>IFERROR(__xludf.DUMMYFUNCTION("JOIN("", "", UNIQUE(FILTER(Seasons!C:C, Seasons!A:A = Coaches!A67)))"),"San Antonio")</f>
        <v>San Antonio</v>
      </c>
      <c r="I67" s="6"/>
      <c r="J67" s="2"/>
    </row>
    <row r="68">
      <c r="A68" s="1" t="s">
        <v>154</v>
      </c>
      <c r="B68" s="1" t="s">
        <v>14</v>
      </c>
      <c r="C68" s="1">
        <f>SUMIF(Seasons!A:A, Coaches!A68, Seasons!D:D)</f>
        <v>20</v>
      </c>
      <c r="D68" s="1">
        <f>SUMIF(Seasons!A:A, Coaches!A68, Seasons!E:E)</f>
        <v>42</v>
      </c>
      <c r="E68" s="1">
        <f>SUMIF(Seasons!A:A, Coaches!A68, Seasons!F:F)</f>
        <v>2</v>
      </c>
      <c r="F68" s="1">
        <f>SUMIF(Seasons!A:A, Coaches!A68, Seasons!G:G)</f>
        <v>2</v>
      </c>
      <c r="G68" s="1" t="str">
        <f t="shared" si="1"/>
        <v>22-44</v>
      </c>
      <c r="H68" s="1" t="str">
        <f>IFERROR(__xludf.DUMMYFUNCTION("JOIN("", "", UNIQUE(FILTER(Seasons!C:C, Seasons!A:A = Coaches!A68)))"),"Bismarck, Massachusetts")</f>
        <v>Bismarck, Massachusetts</v>
      </c>
      <c r="I68" s="1"/>
      <c r="J68" s="2"/>
    </row>
    <row r="69">
      <c r="A69" s="1" t="s">
        <v>180</v>
      </c>
      <c r="B69" s="1" t="s">
        <v>134</v>
      </c>
      <c r="C69" s="1">
        <f>SUMIF(Seasons!A:A, Coaches!A69, Seasons!D:D)</f>
        <v>17</v>
      </c>
      <c r="D69" s="1">
        <f>SUMIF(Seasons!A:A, Coaches!A69, Seasons!E:E)</f>
        <v>31</v>
      </c>
      <c r="E69" s="1">
        <f>SUMIF(Seasons!A:A, Coaches!A69, Seasons!F:F)</f>
        <v>0</v>
      </c>
      <c r="F69" s="1">
        <f>SUMIF(Seasons!A:A, Coaches!A69, Seasons!G:G)</f>
        <v>1</v>
      </c>
      <c r="G69" s="1" t="str">
        <f t="shared" si="1"/>
        <v>17-32</v>
      </c>
      <c r="H69" s="1" t="str">
        <f>IFERROR(__xludf.DUMMYFUNCTION("JOIN("", "", UNIQUE(FILTER(Seasons!C:C, Seasons!A:A = Coaches!A69)))"),"Iowa")</f>
        <v>Iowa</v>
      </c>
      <c r="I69" s="1"/>
      <c r="J69" s="2"/>
    </row>
    <row r="70">
      <c r="A70" s="1" t="s">
        <v>102</v>
      </c>
      <c r="B70" s="1" t="s">
        <v>14</v>
      </c>
      <c r="C70" s="1">
        <f>SUMIF(Seasons!A:A, Coaches!A70, Seasons!D:D)</f>
        <v>1</v>
      </c>
      <c r="D70" s="1">
        <f>SUMIF(Seasons!A:A, Coaches!A70, Seasons!E:E)</f>
        <v>13</v>
      </c>
      <c r="E70" s="1">
        <f>SUMIF(Seasons!A:A, Coaches!A70, Seasons!F:F)</f>
        <v>0</v>
      </c>
      <c r="F70" s="1">
        <f>SUMIF(Seasons!A:A, Coaches!A70, Seasons!G:G)</f>
        <v>0</v>
      </c>
      <c r="G70" s="1" t="str">
        <f t="shared" si="1"/>
        <v>1-13</v>
      </c>
      <c r="H70" s="1" t="str">
        <f>IFERROR(__xludf.DUMMYFUNCTION("JOIN("", "", UNIQUE(FILTER(Seasons!C:C, Seasons!A:A = Coaches!A70)))"),"Arizona")</f>
        <v>Arizona</v>
      </c>
      <c r="I70" s="1"/>
      <c r="J70" s="2"/>
    </row>
    <row r="71">
      <c r="A71" s="1" t="s">
        <v>105</v>
      </c>
      <c r="B71" s="1" t="s">
        <v>14</v>
      </c>
      <c r="C71" s="1">
        <f>SUMIF(Seasons!A:A, Coaches!A71, Seasons!D:D)</f>
        <v>7</v>
      </c>
      <c r="D71" s="1">
        <f>SUMIF(Seasons!A:A, Coaches!A71, Seasons!E:E)</f>
        <v>17</v>
      </c>
      <c r="E71" s="1">
        <f>SUMIF(Seasons!A:A, Coaches!A71, Seasons!F:F)</f>
        <v>0</v>
      </c>
      <c r="F71" s="1">
        <f>SUMIF(Seasons!A:A, Coaches!A71, Seasons!G:G)</f>
        <v>0</v>
      </c>
      <c r="G71" s="1" t="str">
        <f t="shared" si="1"/>
        <v>7-17</v>
      </c>
      <c r="H71" s="1" t="str">
        <f>IFERROR(__xludf.DUMMYFUNCTION("JOIN("", "", UNIQUE(FILTER(Seasons!C:C, Seasons!A:A = Coaches!A71)))"),"La Crosse, Cedar Rapids")</f>
        <v>La Crosse, Cedar Rapids</v>
      </c>
      <c r="I71" s="1"/>
      <c r="J71" s="2"/>
    </row>
    <row r="72">
      <c r="A72" s="1" t="s">
        <v>168</v>
      </c>
      <c r="B72" s="1" t="s">
        <v>14</v>
      </c>
      <c r="C72" s="1">
        <f>SUMIF(Seasons!A:A, Coaches!A72, Seasons!D:D)</f>
        <v>34</v>
      </c>
      <c r="D72" s="1">
        <f>SUMIF(Seasons!A:A, Coaches!A72, Seasons!E:E)</f>
        <v>25</v>
      </c>
      <c r="E72" s="1">
        <f>SUMIF(Seasons!A:A, Coaches!A72, Seasons!F:F)</f>
        <v>4</v>
      </c>
      <c r="F72" s="1">
        <f>SUMIF(Seasons!A:A, Coaches!A72, Seasons!G:G)</f>
        <v>2</v>
      </c>
      <c r="G72" s="1" t="str">
        <f t="shared" si="1"/>
        <v>38-27</v>
      </c>
      <c r="H72" s="1" t="str">
        <f>IFERROR(__xludf.DUMMYFUNCTION("JOIN("", "", UNIQUE(FILTER(Seasons!C:C, Seasons!A:A = Coaches!A72)))"),"Iowa, Northern Arizona")</f>
        <v>Iowa, Northern Arizona</v>
      </c>
      <c r="I72" s="1"/>
      <c r="J72" s="2"/>
    </row>
    <row r="73">
      <c r="A73" s="1" t="s">
        <v>106</v>
      </c>
      <c r="B73" s="1" t="s">
        <v>14</v>
      </c>
      <c r="C73" s="1">
        <f>SUMIF(Seasons!A:A, Coaches!A73, Seasons!D:D)</f>
        <v>9</v>
      </c>
      <c r="D73" s="1">
        <f>SUMIF(Seasons!A:A, Coaches!A73, Seasons!E:E)</f>
        <v>5</v>
      </c>
      <c r="E73" s="1">
        <f>SUMIF(Seasons!A:A, Coaches!A73, Seasons!F:F)</f>
        <v>0</v>
      </c>
      <c r="F73" s="1">
        <f>SUMIF(Seasons!A:A, Coaches!A73, Seasons!G:G)</f>
        <v>1</v>
      </c>
      <c r="G73" s="1" t="str">
        <f t="shared" si="1"/>
        <v>9-6</v>
      </c>
      <c r="H73" s="1" t="str">
        <f>IFERROR(__xludf.DUMMYFUNCTION("JOIN("", "", UNIQUE(FILTER(Seasons!C:C, Seasons!A:A = Coaches!A73)))"),"Bloomington")</f>
        <v>Bloomington</v>
      </c>
      <c r="I73" s="1"/>
      <c r="J73" s="2"/>
    </row>
    <row r="74">
      <c r="A74" s="1" t="s">
        <v>38</v>
      </c>
      <c r="B74" s="1" t="s">
        <v>14</v>
      </c>
      <c r="C74" s="1">
        <f>SUMIF(Seasons!A:A, Coaches!A74, Seasons!D:D)</f>
        <v>61</v>
      </c>
      <c r="D74" s="1">
        <f>SUMIF(Seasons!A:A, Coaches!A74, Seasons!E:E)</f>
        <v>39</v>
      </c>
      <c r="E74" s="1">
        <f>SUMIF(Seasons!A:A, Coaches!A74, Seasons!F:F)</f>
        <v>7</v>
      </c>
      <c r="F74" s="1">
        <f>SUMIF(Seasons!A:A, Coaches!A74, Seasons!G:G)</f>
        <v>3</v>
      </c>
      <c r="G74" s="1" t="str">
        <f t="shared" si="1"/>
        <v>68-42</v>
      </c>
      <c r="H74" s="1" t="str">
        <f>IFERROR(__xludf.DUMMYFUNCTION("JOIN("", "", UNIQUE(FILTER(Seasons!C:C, Seasons!A:A = Coaches!A74)))"),"Billings, Colorado")</f>
        <v>Billings, Colorado</v>
      </c>
      <c r="I74" s="1"/>
      <c r="J74" s="2"/>
    </row>
    <row r="75">
      <c r="A75" s="1" t="s">
        <v>40</v>
      </c>
      <c r="B75" s="1" t="s">
        <v>14</v>
      </c>
      <c r="C75" s="1">
        <f>SUMIF(Seasons!A:A, Coaches!A75, Seasons!D:D)</f>
        <v>1</v>
      </c>
      <c r="D75" s="1">
        <f>SUMIF(Seasons!A:A, Coaches!A75, Seasons!E:E)</f>
        <v>5</v>
      </c>
      <c r="E75" s="1">
        <f>SUMIF(Seasons!A:A, Coaches!A75, Seasons!F:F)</f>
        <v>0</v>
      </c>
      <c r="F75" s="1">
        <f>SUMIF(Seasons!A:A, Coaches!A75, Seasons!G:G)</f>
        <v>0</v>
      </c>
      <c r="G75" s="1" t="str">
        <f t="shared" si="1"/>
        <v>1-5</v>
      </c>
      <c r="H75" s="1" t="str">
        <f>IFERROR(__xludf.DUMMYFUNCTION("JOIN("", "", UNIQUE(FILTER(Seasons!C:C, Seasons!A:A = Coaches!A75)))"),"Muskegon")</f>
        <v>Muskegon</v>
      </c>
      <c r="I75" s="1"/>
      <c r="J75" s="2"/>
    </row>
    <row r="76">
      <c r="A76" s="1" t="s">
        <v>169</v>
      </c>
      <c r="B76" s="1" t="s">
        <v>14</v>
      </c>
      <c r="C76" s="1">
        <f>SUMIF(Seasons!A:A, Coaches!A76, Seasons!D:D)</f>
        <v>11</v>
      </c>
      <c r="D76" s="1">
        <f>SUMIF(Seasons!A:A, Coaches!A76, Seasons!E:E)</f>
        <v>3</v>
      </c>
      <c r="E76" s="1">
        <f>SUMIF(Seasons!A:A, Coaches!A76, Seasons!F:F)</f>
        <v>3</v>
      </c>
      <c r="F76" s="1">
        <f>SUMIF(Seasons!A:A, Coaches!A76, Seasons!G:G)</f>
        <v>0</v>
      </c>
      <c r="G76" s="1" t="str">
        <f t="shared" si="1"/>
        <v>14-3</v>
      </c>
      <c r="H76" s="1" t="str">
        <f>IFERROR(__xludf.DUMMYFUNCTION("JOIN("", "", UNIQUE(FILTER(Seasons!C:C, Seasons!A:A = Coaches!A76)))"),"Massachusetts")</f>
        <v>Massachusetts</v>
      </c>
      <c r="I76" s="1"/>
      <c r="J76" s="2"/>
    </row>
    <row r="77">
      <c r="A77" s="1" t="s">
        <v>138</v>
      </c>
      <c r="B77" s="1" t="s">
        <v>14</v>
      </c>
      <c r="C77" s="1">
        <f>SUMIF(Seasons!A:A, Coaches!A77, Seasons!D:D)</f>
        <v>0</v>
      </c>
      <c r="D77" s="1">
        <f>SUMIF(Seasons!A:A, Coaches!A77, Seasons!E:E)</f>
        <v>4</v>
      </c>
      <c r="E77" s="1">
        <f>SUMIF(Seasons!A:A, Coaches!A77, Seasons!F:F)</f>
        <v>0</v>
      </c>
      <c r="F77" s="1">
        <f>SUMIF(Seasons!A:A, Coaches!A77, Seasons!G:G)</f>
        <v>0</v>
      </c>
      <c r="G77" s="1" t="str">
        <f t="shared" si="1"/>
        <v>0-4</v>
      </c>
      <c r="H77" s="1" t="str">
        <f>IFERROR(__xludf.DUMMYFUNCTION("JOIN("", "", UNIQUE(FILTER(Seasons!C:C, Seasons!A:A = Coaches!A77)))"),"Bemidji")</f>
        <v>Bemidji</v>
      </c>
      <c r="I77" s="1"/>
      <c r="J77" s="2"/>
    </row>
    <row r="78">
      <c r="A78" s="1" t="s">
        <v>42</v>
      </c>
      <c r="B78" s="1" t="s">
        <v>14</v>
      </c>
      <c r="C78" s="1">
        <f>SUMIF(Seasons!A:A, Coaches!A78, Seasons!D:D)</f>
        <v>14</v>
      </c>
      <c r="D78" s="1">
        <f>SUMIF(Seasons!A:A, Coaches!A78, Seasons!E:E)</f>
        <v>9</v>
      </c>
      <c r="E78" s="1">
        <f>SUMIF(Seasons!A:A, Coaches!A78, Seasons!F:F)</f>
        <v>3</v>
      </c>
      <c r="F78" s="1">
        <f>SUMIF(Seasons!A:A, Coaches!A78, Seasons!G:G)</f>
        <v>2</v>
      </c>
      <c r="G78" s="1" t="str">
        <f t="shared" si="1"/>
        <v>17-11</v>
      </c>
      <c r="H78" s="1" t="str">
        <f>IFERROR(__xludf.DUMMYFUNCTION("JOIN("", "", UNIQUE(FILTER(Seasons!C:C, Seasons!A:A = Coaches!A78)))"),"River City, Omaha, Allen")</f>
        <v>River City, Omaha, Allen</v>
      </c>
      <c r="I78" s="1"/>
      <c r="J78" s="2"/>
    </row>
    <row r="79">
      <c r="A79" s="1" t="s">
        <v>44</v>
      </c>
      <c r="B79" s="1" t="s">
        <v>14</v>
      </c>
      <c r="C79" s="1">
        <f>SUMIF(Seasons!A:A, Coaches!A79, Seasons!D:D)</f>
        <v>25</v>
      </c>
      <c r="D79" s="1">
        <f>SUMIF(Seasons!A:A, Coaches!A79, Seasons!E:E)</f>
        <v>25</v>
      </c>
      <c r="E79" s="1">
        <f>SUMIF(Seasons!A:A, Coaches!A79, Seasons!F:F)</f>
        <v>1</v>
      </c>
      <c r="F79" s="1">
        <f>SUMIF(Seasons!A:A, Coaches!A79, Seasons!G:G)</f>
        <v>2</v>
      </c>
      <c r="G79" s="1" t="str">
        <f t="shared" si="1"/>
        <v>26-27</v>
      </c>
      <c r="H79" s="1" t="str">
        <f>IFERROR(__xludf.DUMMYFUNCTION("JOIN("", "", UNIQUE(FILTER(Seasons!C:C, Seasons!A:A = Coaches!A79)))"),"Fairbanks, Seattle, Everett")</f>
        <v>Fairbanks, Seattle, Everett</v>
      </c>
      <c r="I79" s="1"/>
      <c r="J79" s="2"/>
    </row>
    <row r="80">
      <c r="A80" s="1" t="s">
        <v>46</v>
      </c>
      <c r="B80" s="1" t="s">
        <v>14</v>
      </c>
      <c r="C80" s="1">
        <f>SUMIF(Seasons!A:A, Coaches!A80, Seasons!D:D)</f>
        <v>29</v>
      </c>
      <c r="D80" s="1">
        <f>SUMIF(Seasons!A:A, Coaches!A80, Seasons!E:E)</f>
        <v>12</v>
      </c>
      <c r="E80" s="1">
        <f>SUMIF(Seasons!A:A, Coaches!A80, Seasons!F:F)</f>
        <v>1</v>
      </c>
      <c r="F80" s="1">
        <f>SUMIF(Seasons!A:A, Coaches!A80, Seasons!G:G)</f>
        <v>2</v>
      </c>
      <c r="G80" s="1" t="str">
        <f t="shared" si="1"/>
        <v>30-14</v>
      </c>
      <c r="H80" s="1" t="str">
        <f>IFERROR(__xludf.DUMMYFUNCTION("JOIN("", "", UNIQUE(FILTER(Seasons!C:C, Seasons!A:A = Coaches!A80)))"),"River City, Green Bay")</f>
        <v>River City, Green Bay</v>
      </c>
      <c r="I80" s="1"/>
      <c r="J80" s="2"/>
    </row>
    <row r="81">
      <c r="A81" s="1" t="s">
        <v>47</v>
      </c>
      <c r="B81" s="1" t="s">
        <v>14</v>
      </c>
      <c r="C81" s="1">
        <f>SUMIF(Seasons!A:A, Coaches!A81, Seasons!D:D)</f>
        <v>155</v>
      </c>
      <c r="D81" s="1">
        <f>SUMIF(Seasons!A:A, Coaches!A81, Seasons!E:E)</f>
        <v>47</v>
      </c>
      <c r="E81" s="1">
        <f>SUMIF(Seasons!A:A, Coaches!A81, Seasons!F:F)</f>
        <v>24</v>
      </c>
      <c r="F81" s="1">
        <f>SUMIF(Seasons!A:A, Coaches!A81, Seasons!G:G)</f>
        <v>5</v>
      </c>
      <c r="G81" s="1" t="str">
        <f t="shared" si="1"/>
        <v>179-52</v>
      </c>
      <c r="H81" s="1" t="str">
        <f>IFERROR(__xludf.DUMMYFUNCTION("JOIN("", "", UNIQUE(FILTER(Seasons!C:C, Seasons!A:A = Coaches!A81)))"),"Sioux Falls")</f>
        <v>Sioux Falls</v>
      </c>
      <c r="I81" s="1"/>
      <c r="J81" s="2"/>
    </row>
    <row r="82">
      <c r="A82" s="1" t="s">
        <v>157</v>
      </c>
      <c r="B82" s="1" t="s">
        <v>81</v>
      </c>
      <c r="C82" s="1">
        <f>SUMIF(Seasons!A:A, Coaches!A82, Seasons!D:D)</f>
        <v>40</v>
      </c>
      <c r="D82" s="1">
        <f>SUMIF(Seasons!A:A, Coaches!A82, Seasons!E:E)</f>
        <v>35</v>
      </c>
      <c r="E82" s="1">
        <f>SUMIF(Seasons!A:A, Coaches!A82, Seasons!F:F)</f>
        <v>1</v>
      </c>
      <c r="F82" s="1">
        <f>SUMIF(Seasons!A:A, Coaches!A82, Seasons!G:G)</f>
        <v>2</v>
      </c>
      <c r="G82" s="1" t="str">
        <f t="shared" si="1"/>
        <v>41-37</v>
      </c>
      <c r="H82" s="1" t="str">
        <f>IFERROR(__xludf.DUMMYFUNCTION("JOIN("", "", UNIQUE(FILTER(Seasons!C:C, Seasons!A:A = Coaches!A82)))"),"Green Bay")</f>
        <v>Green Bay</v>
      </c>
      <c r="I82" s="1"/>
      <c r="J82" s="2"/>
    </row>
    <row r="83">
      <c r="A83" s="1" t="s">
        <v>49</v>
      </c>
      <c r="B83" s="1" t="s">
        <v>14</v>
      </c>
      <c r="C83" s="1">
        <f>SUMIF(Seasons!A:A, Coaches!A83, Seasons!D:D)</f>
        <v>0</v>
      </c>
      <c r="D83" s="1">
        <f>SUMIF(Seasons!A:A, Coaches!A83, Seasons!E:E)</f>
        <v>6</v>
      </c>
      <c r="E83" s="1">
        <f>SUMIF(Seasons!A:A, Coaches!A83, Seasons!F:F)</f>
        <v>0</v>
      </c>
      <c r="F83" s="1">
        <f>SUMIF(Seasons!A:A, Coaches!A83, Seasons!G:G)</f>
        <v>0</v>
      </c>
      <c r="G83" s="1" t="str">
        <f t="shared" si="1"/>
        <v>0-6</v>
      </c>
      <c r="H83" s="1" t="str">
        <f>IFERROR(__xludf.DUMMYFUNCTION("JOIN("", "", UNIQUE(FILTER(Seasons!C:C, Seasons!A:A = Coaches!A83)))"),"Alaska")</f>
        <v>Alaska</v>
      </c>
      <c r="I83" s="1"/>
      <c r="J83" s="2"/>
    </row>
    <row r="84">
      <c r="A84" s="1" t="s">
        <v>158</v>
      </c>
      <c r="B84" s="1" t="s">
        <v>159</v>
      </c>
      <c r="C84" s="1">
        <f>SUMIF(Seasons!A:A, Coaches!A84, Seasons!D:D)</f>
        <v>33</v>
      </c>
      <c r="D84" s="1">
        <f>SUMIF(Seasons!A:A, Coaches!A84, Seasons!E:E)</f>
        <v>29</v>
      </c>
      <c r="E84" s="1">
        <f>SUMIF(Seasons!A:A, Coaches!A84, Seasons!F:F)</f>
        <v>2</v>
      </c>
      <c r="F84" s="1">
        <f>SUMIF(Seasons!A:A, Coaches!A84, Seasons!G:G)</f>
        <v>3</v>
      </c>
      <c r="G84" s="1" t="str">
        <f t="shared" si="1"/>
        <v>35-32</v>
      </c>
      <c r="H84" s="1" t="str">
        <f>IFERROR(__xludf.DUMMYFUNCTION("JOIN("", "", UNIQUE(FILTER(Seasons!C:C, Seasons!A:A = Coaches!A84)))"),"Quad Cities")</f>
        <v>Quad Cities</v>
      </c>
      <c r="I84" s="1"/>
      <c r="J84" s="2"/>
    </row>
    <row r="85">
      <c r="A85" s="1" t="s">
        <v>50</v>
      </c>
      <c r="B85" s="1" t="s">
        <v>14</v>
      </c>
      <c r="C85" s="1">
        <f>SUMIF(Seasons!A:A, Coaches!A85, Seasons!D:D)</f>
        <v>18</v>
      </c>
      <c r="D85" s="1">
        <f>SUMIF(Seasons!A:A, Coaches!A85, Seasons!E:E)</f>
        <v>24</v>
      </c>
      <c r="E85" s="1">
        <f>SUMIF(Seasons!A:A, Coaches!A85, Seasons!F:F)</f>
        <v>0</v>
      </c>
      <c r="F85" s="1">
        <f>SUMIF(Seasons!A:A, Coaches!A85, Seasons!G:G)</f>
        <v>2</v>
      </c>
      <c r="G85" s="1" t="str">
        <f t="shared" si="1"/>
        <v>18-26</v>
      </c>
      <c r="H85" s="1" t="str">
        <f>IFERROR(__xludf.DUMMYFUNCTION("JOIN("", "", UNIQUE(FILTER(Seasons!C:C, Seasons!A:A = Coaches!A85)))"),"Colorado")</f>
        <v>Colorado</v>
      </c>
      <c r="I85" s="1"/>
      <c r="J85" s="2"/>
    </row>
    <row r="86">
      <c r="A86" s="1" t="s">
        <v>149</v>
      </c>
      <c r="B86" s="1" t="s">
        <v>14</v>
      </c>
      <c r="C86" s="1">
        <f>SUMIF(Seasons!A:A, Coaches!A86, Seasons!D:D)</f>
        <v>3</v>
      </c>
      <c r="D86" s="1">
        <f>SUMIF(Seasons!A:A, Coaches!A86, Seasons!E:E)</f>
        <v>7</v>
      </c>
      <c r="E86" s="1">
        <f>SUMIF(Seasons!A:A, Coaches!A86, Seasons!F:F)</f>
        <v>0</v>
      </c>
      <c r="F86" s="1">
        <f>SUMIF(Seasons!A:A, Coaches!A86, Seasons!G:G)</f>
        <v>0</v>
      </c>
      <c r="G86" s="1" t="str">
        <f t="shared" si="1"/>
        <v>3-7</v>
      </c>
      <c r="H86" s="1" t="str">
        <f>IFERROR(__xludf.DUMMYFUNCTION("JOIN("", "", UNIQUE(FILTER(Seasons!C:C, Seasons!A:A = Coaches!A86)))"),"Salt Lake")</f>
        <v>Salt Lake</v>
      </c>
      <c r="I86" s="1"/>
      <c r="J86" s="2"/>
    </row>
    <row r="87">
      <c r="A87" s="1" t="s">
        <v>83</v>
      </c>
      <c r="B87" s="1" t="s">
        <v>14</v>
      </c>
      <c r="C87" s="1">
        <f>SUMIF(Seasons!A:A, Coaches!A87, Seasons!D:D)</f>
        <v>6</v>
      </c>
      <c r="D87" s="1">
        <f>SUMIF(Seasons!A:A, Coaches!A87, Seasons!E:E)</f>
        <v>0</v>
      </c>
      <c r="E87" s="1">
        <f>SUMIF(Seasons!A:A, Coaches!A87, Seasons!F:F)</f>
        <v>0</v>
      </c>
      <c r="F87" s="1">
        <f>SUMIF(Seasons!A:A, Coaches!A87, Seasons!G:G)</f>
        <v>1</v>
      </c>
      <c r="G87" s="1" t="str">
        <f t="shared" si="1"/>
        <v>6-1</v>
      </c>
      <c r="H87" s="1" t="str">
        <f>IFERROR(__xludf.DUMMYFUNCTION("JOIN("", "", UNIQUE(FILTER(Seasons!C:C, Seasons!A:A = Coaches!A87)))"),"Bloomington")</f>
        <v>Bloomington</v>
      </c>
      <c r="I87" s="1"/>
      <c r="J87" s="2"/>
    </row>
    <row r="88">
      <c r="A88" s="1" t="s">
        <v>84</v>
      </c>
      <c r="B88" s="1" t="s">
        <v>14</v>
      </c>
      <c r="C88" s="1">
        <f>SUMIF(Seasons!A:A, Coaches!A88, Seasons!D:D)</f>
        <v>71</v>
      </c>
      <c r="D88" s="1">
        <f>SUMIF(Seasons!A:A, Coaches!A88, Seasons!E:E)</f>
        <v>45</v>
      </c>
      <c r="E88" s="1">
        <f>SUMIF(Seasons!A:A, Coaches!A88, Seasons!F:F)</f>
        <v>6</v>
      </c>
      <c r="F88" s="1">
        <f>SUMIF(Seasons!A:A, Coaches!A88, Seasons!G:G)</f>
        <v>5</v>
      </c>
      <c r="G88" s="1" t="str">
        <f t="shared" si="1"/>
        <v>77-50</v>
      </c>
      <c r="H88" s="1" t="str">
        <f>IFERROR(__xludf.DUMMYFUNCTION("JOIN("", "", UNIQUE(FILTER(Seasons!C:C, Seasons!A:A = Coaches!A88)))"),"Tri-Cities, Spokane")</f>
        <v>Tri-Cities, Spokane</v>
      </c>
      <c r="I88" s="1"/>
      <c r="J88" s="2"/>
    </row>
    <row r="89">
      <c r="A89" s="1" t="s">
        <v>109</v>
      </c>
      <c r="B89" s="1" t="s">
        <v>14</v>
      </c>
      <c r="C89" s="1">
        <f>SUMIF(Seasons!A:A, Coaches!A89, Seasons!D:D)</f>
        <v>3</v>
      </c>
      <c r="D89" s="1">
        <f>SUMIF(Seasons!A:A, Coaches!A89, Seasons!E:E)</f>
        <v>11</v>
      </c>
      <c r="E89" s="1">
        <f>SUMIF(Seasons!A:A, Coaches!A89, Seasons!F:F)</f>
        <v>0</v>
      </c>
      <c r="F89" s="1">
        <f>SUMIF(Seasons!A:A, Coaches!A89, Seasons!G:G)</f>
        <v>0</v>
      </c>
      <c r="G89" s="1" t="str">
        <f t="shared" si="1"/>
        <v>3-11</v>
      </c>
      <c r="H89" s="1" t="str">
        <f>IFERROR(__xludf.DUMMYFUNCTION("JOIN("", "", UNIQUE(FILTER(Seasons!C:C, Seasons!A:A = Coaches!A89)))"),"Wenatchee Valley")</f>
        <v>Wenatchee Valley</v>
      </c>
      <c r="I89" s="1"/>
      <c r="J89" s="2"/>
    </row>
    <row r="90">
      <c r="A90" s="1" t="s">
        <v>52</v>
      </c>
      <c r="B90" s="1" t="s">
        <v>14</v>
      </c>
      <c r="C90" s="1">
        <f>SUMIF(Seasons!A:A, Coaches!A90, Seasons!D:D)</f>
        <v>10</v>
      </c>
      <c r="D90" s="1">
        <f>SUMIF(Seasons!A:A, Coaches!A90, Seasons!E:E)</f>
        <v>13</v>
      </c>
      <c r="E90" s="1">
        <f>SUMIF(Seasons!A:A, Coaches!A90, Seasons!F:F)</f>
        <v>0</v>
      </c>
      <c r="F90" s="1">
        <f>SUMIF(Seasons!A:A, Coaches!A90, Seasons!G:G)</f>
        <v>1</v>
      </c>
      <c r="G90" s="1" t="str">
        <f t="shared" si="1"/>
        <v>10-14</v>
      </c>
      <c r="H90" s="1" t="str">
        <f>IFERROR(__xludf.DUMMYFUNCTION("JOIN("", "", UNIQUE(FILTER(Seasons!C:C, Seasons!A:A = Coaches!A90)))"),"Maryland")</f>
        <v>Maryland</v>
      </c>
      <c r="I90" s="1"/>
      <c r="J90" s="2"/>
    </row>
    <row r="91">
      <c r="A91" s="1" t="s">
        <v>123</v>
      </c>
      <c r="B91" s="1" t="s">
        <v>14</v>
      </c>
      <c r="C91" s="1">
        <f>SUMIF(Seasons!A:A, Coaches!A91, Seasons!D:D)</f>
        <v>2</v>
      </c>
      <c r="D91" s="1">
        <f>SUMIF(Seasons!A:A, Coaches!A91, Seasons!E:E)</f>
        <v>12</v>
      </c>
      <c r="E91" s="1">
        <f>SUMIF(Seasons!A:A, Coaches!A91, Seasons!F:F)</f>
        <v>0</v>
      </c>
      <c r="F91" s="1">
        <f>SUMIF(Seasons!A:A, Coaches!A91, Seasons!G:G)</f>
        <v>0</v>
      </c>
      <c r="G91" s="1" t="str">
        <f t="shared" si="1"/>
        <v>2-12</v>
      </c>
      <c r="H91" s="1" t="str">
        <f>IFERROR(__xludf.DUMMYFUNCTION("JOIN("", "", UNIQUE(FILTER(Seasons!C:C, Seasons!A:A = Coaches!A91)))"),"Reading")</f>
        <v>Reading</v>
      </c>
      <c r="I91" s="1"/>
      <c r="J91" s="2"/>
    </row>
    <row r="92">
      <c r="A92" s="1" t="s">
        <v>129</v>
      </c>
      <c r="B92" s="1" t="s">
        <v>14</v>
      </c>
      <c r="C92" s="1">
        <f>SUMIF(Seasons!A:A, Coaches!A92, Seasons!D:D)</f>
        <v>55</v>
      </c>
      <c r="D92" s="1">
        <f>SUMIF(Seasons!A:A, Coaches!A92, Seasons!E:E)</f>
        <v>51</v>
      </c>
      <c r="E92" s="1">
        <f>SUMIF(Seasons!A:A, Coaches!A92, Seasons!F:F)</f>
        <v>1</v>
      </c>
      <c r="F92" s="1">
        <f>SUMIF(Seasons!A:A, Coaches!A92, Seasons!G:G)</f>
        <v>6</v>
      </c>
      <c r="G92" s="1" t="str">
        <f t="shared" si="1"/>
        <v>56-57</v>
      </c>
      <c r="H92" s="1" t="str">
        <f>IFERROR(__xludf.DUMMYFUNCTION("JOIN("", "", UNIQUE(FILTER(Seasons!C:C, Seasons!A:A = Coaches!A92)))"),"Cedar Rapids, Nebraska, Louisville, Massachusetts")</f>
        <v>Cedar Rapids, Nebraska, Louisville, Massachusetts</v>
      </c>
      <c r="I92" s="1"/>
      <c r="J92" s="2"/>
    </row>
    <row r="93">
      <c r="A93" s="1" t="s">
        <v>172</v>
      </c>
      <c r="B93" s="1" t="s">
        <v>14</v>
      </c>
      <c r="C93" s="1">
        <f>SUMIF(Seasons!A:A, Coaches!A93, Seasons!D:D)</f>
        <v>2</v>
      </c>
      <c r="D93" s="1">
        <f>SUMIF(Seasons!A:A, Coaches!A93, Seasons!E:E)</f>
        <v>4</v>
      </c>
      <c r="E93" s="1">
        <f>SUMIF(Seasons!A:A, Coaches!A93, Seasons!F:F)</f>
        <v>0</v>
      </c>
      <c r="F93" s="1">
        <f>SUMIF(Seasons!A:A, Coaches!A93, Seasons!G:G)</f>
        <v>0</v>
      </c>
      <c r="G93" s="1" t="str">
        <f t="shared" si="1"/>
        <v>2-4</v>
      </c>
      <c r="H93" s="1" t="str">
        <f>IFERROR(__xludf.DUMMYFUNCTION("JOIN("", "", UNIQUE(FILTER(Seasons!C:C, Seasons!A:A = Coaches!A93)))"),"Duke City")</f>
        <v>Duke City</v>
      </c>
      <c r="I93" s="1"/>
      <c r="J93" s="2"/>
    </row>
    <row r="94">
      <c r="A94" s="1" t="s">
        <v>111</v>
      </c>
      <c r="B94" s="1" t="s">
        <v>14</v>
      </c>
      <c r="C94" s="1">
        <f>SUMIF(Seasons!A:A, Coaches!A94, Seasons!D:D)</f>
        <v>14</v>
      </c>
      <c r="D94" s="1">
        <f>SUMIF(Seasons!A:A, Coaches!A94, Seasons!E:E)</f>
        <v>14</v>
      </c>
      <c r="E94" s="1">
        <f>SUMIF(Seasons!A:A, Coaches!A94, Seasons!F:F)</f>
        <v>1</v>
      </c>
      <c r="F94" s="1">
        <f>SUMIF(Seasons!A:A, Coaches!A94, Seasons!G:G)</f>
        <v>2</v>
      </c>
      <c r="G94" s="1" t="str">
        <f t="shared" si="1"/>
        <v>15-16</v>
      </c>
      <c r="H94" s="1" t="str">
        <f>IFERROR(__xludf.DUMMYFUNCTION("JOIN("", "", UNIQUE(FILTER(Seasons!C:C, Seasons!A:A = Coaches!A94)))"),"Reading, Lehigh Valley")</f>
        <v>Reading, Lehigh Valley</v>
      </c>
      <c r="I94" s="1"/>
      <c r="J94" s="2"/>
    </row>
    <row r="95">
      <c r="A95" s="1" t="s">
        <v>54</v>
      </c>
      <c r="B95" s="1" t="s">
        <v>14</v>
      </c>
      <c r="C95" s="1">
        <f>SUMIF(Seasons!A:A, Coaches!A95, Seasons!D:D)</f>
        <v>0</v>
      </c>
      <c r="D95" s="1">
        <f>SUMIF(Seasons!A:A, Coaches!A95, Seasons!E:E)</f>
        <v>4</v>
      </c>
      <c r="E95" s="1">
        <f>SUMIF(Seasons!A:A, Coaches!A95, Seasons!F:F)</f>
        <v>0</v>
      </c>
      <c r="F95" s="1">
        <f>SUMIF(Seasons!A:A, Coaches!A95, Seasons!G:G)</f>
        <v>0</v>
      </c>
      <c r="G95" s="1" t="str">
        <f t="shared" si="1"/>
        <v>0-4</v>
      </c>
      <c r="H95" s="1" t="str">
        <f>IFERROR(__xludf.DUMMYFUNCTION("JOIN("", "", UNIQUE(FILTER(Seasons!C:C, Seasons!A:A = Coaches!A95)))"),"Muskegon")</f>
        <v>Muskegon</v>
      </c>
      <c r="I95" s="1"/>
      <c r="J95" s="2"/>
    </row>
    <row r="96">
      <c r="A96" s="1" t="s">
        <v>55</v>
      </c>
      <c r="B96" s="1" t="s">
        <v>14</v>
      </c>
      <c r="C96" s="1">
        <f>SUMIF(Seasons!A:A, Coaches!A96, Seasons!D:D)</f>
        <v>35</v>
      </c>
      <c r="D96" s="1">
        <f>SUMIF(Seasons!A:A, Coaches!A96, Seasons!E:E)</f>
        <v>81</v>
      </c>
      <c r="E96" s="1">
        <f>SUMIF(Seasons!A:A, Coaches!A96, Seasons!F:F)</f>
        <v>0</v>
      </c>
      <c r="F96" s="1">
        <f>SUMIF(Seasons!A:A, Coaches!A96, Seasons!G:G)</f>
        <v>2</v>
      </c>
      <c r="G96" s="1" t="str">
        <f t="shared" si="1"/>
        <v>35-83</v>
      </c>
      <c r="H96" s="1" t="str">
        <f>IFERROR(__xludf.DUMMYFUNCTION("JOIN("", "", UNIQUE(FILTER(Seasons!C:C, Seasons!A:A = Coaches!A96)))"),"Odessa, W. Texas, New Mexico, Texas, Green Bay")</f>
        <v>Odessa, W. Texas, New Mexico, Texas, Green Bay</v>
      </c>
      <c r="I96" s="1"/>
      <c r="J96" s="2"/>
    </row>
    <row r="97">
      <c r="A97" s="1" t="s">
        <v>86</v>
      </c>
      <c r="B97" s="1" t="s">
        <v>14</v>
      </c>
      <c r="C97" s="1">
        <f>SUMIF(Seasons!A:A, Coaches!A97, Seasons!D:D)</f>
        <v>12</v>
      </c>
      <c r="D97" s="1">
        <f>SUMIF(Seasons!A:A, Coaches!A97, Seasons!E:E)</f>
        <v>22</v>
      </c>
      <c r="E97" s="1">
        <f>SUMIF(Seasons!A:A, Coaches!A97, Seasons!F:F)</f>
        <v>0</v>
      </c>
      <c r="F97" s="1">
        <f>SUMIF(Seasons!A:A, Coaches!A97, Seasons!G:G)</f>
        <v>0</v>
      </c>
      <c r="G97" s="1" t="str">
        <f t="shared" si="1"/>
        <v>12-22</v>
      </c>
      <c r="H97" s="1" t="str">
        <f>IFERROR(__xludf.DUMMYFUNCTION("JOIN("", "", UNIQUE(FILTER(Seasons!C:C, Seasons!A:A = Coaches!A97)))"),"Sioux City, Green Bay")</f>
        <v>Sioux City, Green Bay</v>
      </c>
      <c r="I97" s="1"/>
      <c r="J97" s="2"/>
    </row>
    <row r="98">
      <c r="A98" s="1" t="s">
        <v>125</v>
      </c>
      <c r="B98" s="1" t="s">
        <v>197</v>
      </c>
      <c r="C98" s="1">
        <f>SUMIF(Seasons!A:A, Coaches!A98, Seasons!D:D)</f>
        <v>64</v>
      </c>
      <c r="D98" s="1">
        <f>SUMIF(Seasons!A:A, Coaches!A98, Seasons!E:E)</f>
        <v>36</v>
      </c>
      <c r="E98" s="1">
        <f>SUMIF(Seasons!A:A, Coaches!A98, Seasons!F:F)</f>
        <v>5</v>
      </c>
      <c r="F98" s="1">
        <f>SUMIF(Seasons!A:A, Coaches!A98, Seasons!G:G)</f>
        <v>4</v>
      </c>
      <c r="G98" s="1" t="str">
        <f t="shared" si="1"/>
        <v>69-40</v>
      </c>
      <c r="H98" s="1" t="str">
        <f>IFERROR(__xludf.DUMMYFUNCTION("JOIN("", "", UNIQUE(FILTER(Seasons!C:C, Seasons!A:A = Coaches!A98)))"),"Allen, Bemidji, Iowa, Tucson, Bay Area, Fishers")</f>
        <v>Allen, Bemidji, Iowa, Tucson, Bay Area, Fishers</v>
      </c>
      <c r="I98" s="1"/>
      <c r="J98" s="2"/>
    </row>
    <row r="99">
      <c r="A99" s="1" t="s">
        <v>113</v>
      </c>
      <c r="B99" s="1" t="s">
        <v>14</v>
      </c>
      <c r="C99" s="1">
        <f>SUMIF(Seasons!A:A, Coaches!A99, Seasons!D:D)</f>
        <v>12</v>
      </c>
      <c r="D99" s="1">
        <f>SUMIF(Seasons!A:A, Coaches!A99, Seasons!E:E)</f>
        <v>8</v>
      </c>
      <c r="E99" s="1">
        <f>SUMIF(Seasons!A:A, Coaches!A99, Seasons!F:F)</f>
        <v>1</v>
      </c>
      <c r="F99" s="1">
        <f>SUMIF(Seasons!A:A, Coaches!A99, Seasons!G:G)</f>
        <v>1</v>
      </c>
      <c r="G99" s="1" t="str">
        <f t="shared" si="1"/>
        <v>13-9</v>
      </c>
      <c r="H99" s="1" t="str">
        <f>IFERROR(__xludf.DUMMYFUNCTION("JOIN("", "", UNIQUE(FILTER(Seasons!C:C, Seasons!A:A = Coaches!A99)))"),"Omaha")</f>
        <v>Omaha</v>
      </c>
      <c r="I99" s="1"/>
      <c r="J99" s="2"/>
    </row>
    <row r="100">
      <c r="B100" s="1"/>
      <c r="C100" s="1"/>
      <c r="D100" s="1"/>
      <c r="E100" s="1"/>
      <c r="F100" s="1"/>
      <c r="G100" s="1"/>
      <c r="H100" s="1"/>
      <c r="I100" s="1"/>
      <c r="J100" s="2"/>
    </row>
    <row r="101">
      <c r="B101" s="1"/>
      <c r="C101" s="1"/>
      <c r="D101" s="1"/>
      <c r="E101" s="1"/>
      <c r="F101" s="1"/>
      <c r="G101" s="1"/>
      <c r="H101" s="1"/>
      <c r="I101" s="1"/>
      <c r="J101" s="2"/>
    </row>
    <row r="102">
      <c r="B102" s="1"/>
      <c r="C102" s="1"/>
      <c r="D102" s="1"/>
      <c r="E102" s="1"/>
      <c r="F102" s="1"/>
      <c r="G102" s="1"/>
      <c r="H102" s="1"/>
      <c r="I102" s="1"/>
      <c r="J102" s="2"/>
    </row>
    <row r="103">
      <c r="B103" s="1"/>
      <c r="C103" s="1"/>
      <c r="D103" s="1"/>
      <c r="E103" s="1"/>
      <c r="F103" s="1"/>
      <c r="G103" s="1"/>
      <c r="H103" s="1"/>
      <c r="I103" s="1"/>
      <c r="J103" s="2"/>
    </row>
    <row r="104">
      <c r="B104" s="1"/>
      <c r="C104" s="1"/>
      <c r="D104" s="1"/>
      <c r="E104" s="1"/>
      <c r="F104" s="1"/>
      <c r="G104" s="1"/>
      <c r="H104" s="1"/>
      <c r="I104" s="1"/>
      <c r="J104" s="2"/>
    </row>
    <row r="105">
      <c r="B105" s="1"/>
      <c r="C105" s="1"/>
      <c r="D105" s="1"/>
      <c r="E105" s="1"/>
      <c r="F105" s="1"/>
      <c r="G105" s="1"/>
      <c r="H105" s="1"/>
      <c r="I105" s="1"/>
      <c r="J105" s="2"/>
    </row>
    <row r="106">
      <c r="B106" s="1"/>
      <c r="C106" s="1"/>
      <c r="D106" s="1"/>
      <c r="E106" s="1"/>
      <c r="F106" s="1"/>
      <c r="G106" s="1"/>
      <c r="H106" s="1"/>
      <c r="I106" s="1"/>
      <c r="J106" s="2"/>
    </row>
    <row r="107">
      <c r="B107" s="1"/>
      <c r="C107" s="1"/>
      <c r="D107" s="1"/>
      <c r="E107" s="1"/>
      <c r="F107" s="1"/>
      <c r="G107" s="1"/>
      <c r="H107" s="1"/>
      <c r="I107" s="1"/>
      <c r="J107" s="2"/>
    </row>
    <row r="108">
      <c r="B108" s="1"/>
      <c r="C108" s="1"/>
      <c r="D108" s="1"/>
      <c r="E108" s="1"/>
      <c r="F108" s="1"/>
      <c r="G108" s="1"/>
      <c r="H108" s="1"/>
      <c r="I108" s="1"/>
      <c r="J108" s="2"/>
    </row>
    <row r="109">
      <c r="B109" s="1"/>
      <c r="C109" s="1"/>
      <c r="D109" s="1"/>
      <c r="E109" s="1"/>
      <c r="F109" s="1"/>
      <c r="G109" s="1"/>
      <c r="H109" s="1"/>
      <c r="I109" s="1"/>
      <c r="J109" s="2"/>
    </row>
    <row r="110">
      <c r="B110" s="1"/>
      <c r="C110" s="1"/>
      <c r="D110" s="1"/>
      <c r="E110" s="1"/>
      <c r="F110" s="1"/>
      <c r="G110" s="1"/>
      <c r="H110" s="1"/>
      <c r="I110" s="1"/>
      <c r="J110" s="2"/>
    </row>
    <row r="111">
      <c r="B111" s="1"/>
      <c r="C111" s="1"/>
      <c r="D111" s="1"/>
      <c r="E111" s="1"/>
      <c r="F111" s="1"/>
      <c r="G111" s="1"/>
      <c r="H111" s="1"/>
      <c r="I111" s="1"/>
      <c r="J111" s="2"/>
    </row>
    <row r="112">
      <c r="B112" s="1"/>
      <c r="C112" s="1"/>
      <c r="D112" s="1"/>
      <c r="E112" s="1"/>
      <c r="F112" s="1"/>
      <c r="G112" s="1"/>
      <c r="H112" s="1"/>
      <c r="I112" s="1"/>
      <c r="J112" s="2"/>
    </row>
    <row r="113">
      <c r="B113" s="1"/>
      <c r="C113" s="1"/>
      <c r="D113" s="1"/>
      <c r="E113" s="1"/>
      <c r="F113" s="1"/>
      <c r="G113" s="1"/>
      <c r="H113" s="1"/>
      <c r="I113" s="1"/>
      <c r="J113" s="2"/>
    </row>
    <row r="114">
      <c r="B114" s="1"/>
      <c r="C114" s="1"/>
      <c r="D114" s="1"/>
      <c r="E114" s="1"/>
      <c r="F114" s="1"/>
      <c r="G114" s="1"/>
      <c r="H114" s="1"/>
      <c r="I114" s="1"/>
      <c r="J114" s="2"/>
    </row>
    <row r="115">
      <c r="B115" s="1"/>
      <c r="C115" s="1"/>
      <c r="D115" s="1"/>
      <c r="E115" s="1"/>
      <c r="F115" s="1"/>
      <c r="G115" s="1"/>
      <c r="H115" s="1"/>
      <c r="I115" s="1"/>
      <c r="J115" s="2"/>
    </row>
    <row r="116">
      <c r="B116" s="1"/>
      <c r="C116" s="1"/>
      <c r="D116" s="1"/>
      <c r="E116" s="1"/>
      <c r="F116" s="1"/>
      <c r="G116" s="1"/>
      <c r="H116" s="1"/>
      <c r="I116" s="1"/>
      <c r="J116" s="2"/>
    </row>
    <row r="117">
      <c r="B117" s="1"/>
      <c r="C117" s="1"/>
      <c r="D117" s="1"/>
      <c r="E117" s="1"/>
      <c r="F117" s="1"/>
      <c r="G117" s="1"/>
      <c r="H117" s="1"/>
      <c r="I117" s="1"/>
      <c r="J117" s="2"/>
    </row>
    <row r="118">
      <c r="B118" s="1"/>
      <c r="C118" s="1"/>
      <c r="D118" s="1"/>
      <c r="E118" s="1"/>
      <c r="F118" s="1"/>
      <c r="G118" s="1"/>
      <c r="H118" s="1"/>
      <c r="I118" s="1"/>
      <c r="J118" s="2"/>
    </row>
    <row r="119">
      <c r="B119" s="1"/>
      <c r="C119" s="1"/>
      <c r="D119" s="1"/>
      <c r="E119" s="1"/>
      <c r="F119" s="1"/>
      <c r="G119" s="1"/>
      <c r="H119" s="1"/>
      <c r="I119" s="1"/>
      <c r="J119" s="2"/>
    </row>
    <row r="120">
      <c r="B120" s="1"/>
      <c r="C120" s="1"/>
      <c r="D120" s="1"/>
      <c r="E120" s="1"/>
      <c r="F120" s="1"/>
      <c r="G120" s="1"/>
      <c r="H120" s="1"/>
      <c r="I120" s="1"/>
      <c r="J120" s="2"/>
    </row>
    <row r="121">
      <c r="B121" s="1"/>
      <c r="C121" s="1"/>
      <c r="D121" s="1"/>
      <c r="E121" s="1"/>
      <c r="F121" s="1"/>
      <c r="G121" s="1"/>
      <c r="H121" s="1"/>
      <c r="I121" s="1"/>
      <c r="J121" s="2"/>
    </row>
    <row r="122">
      <c r="B122" s="1"/>
      <c r="C122" s="1"/>
      <c r="D122" s="1"/>
      <c r="E122" s="1"/>
      <c r="F122" s="1"/>
      <c r="G122" s="1"/>
      <c r="H122" s="1"/>
      <c r="I122" s="1"/>
      <c r="J122" s="2"/>
    </row>
    <row r="123">
      <c r="B123" s="1"/>
      <c r="C123" s="1"/>
      <c r="D123" s="1"/>
      <c r="E123" s="1"/>
      <c r="F123" s="1"/>
      <c r="G123" s="1"/>
      <c r="H123" s="1"/>
      <c r="I123" s="1"/>
      <c r="J123" s="2"/>
    </row>
    <row r="124">
      <c r="B124" s="1"/>
      <c r="C124" s="1"/>
      <c r="D124" s="1"/>
      <c r="E124" s="1"/>
      <c r="F124" s="1"/>
      <c r="G124" s="1"/>
      <c r="H124" s="1"/>
      <c r="I124" s="1"/>
      <c r="J124" s="2"/>
    </row>
    <row r="125">
      <c r="B125" s="1"/>
      <c r="C125" s="1"/>
      <c r="D125" s="1"/>
      <c r="E125" s="1"/>
      <c r="F125" s="1"/>
      <c r="G125" s="1"/>
      <c r="H125" s="1"/>
      <c r="I125" s="1"/>
      <c r="J125" s="2"/>
    </row>
    <row r="126">
      <c r="B126" s="1"/>
      <c r="C126" s="1"/>
      <c r="D126" s="1"/>
      <c r="E126" s="1"/>
      <c r="F126" s="1"/>
      <c r="G126" s="1"/>
      <c r="H126" s="1"/>
      <c r="I126" s="1"/>
      <c r="J126" s="2"/>
    </row>
    <row r="127">
      <c r="B127" s="1"/>
      <c r="C127" s="1"/>
      <c r="D127" s="1"/>
      <c r="E127" s="1"/>
      <c r="F127" s="1"/>
      <c r="G127" s="1"/>
      <c r="H127" s="1"/>
      <c r="I127" s="1"/>
      <c r="J127" s="2"/>
    </row>
    <row r="128">
      <c r="B128" s="1"/>
      <c r="C128" s="1"/>
      <c r="D128" s="1"/>
      <c r="E128" s="1"/>
      <c r="F128" s="1"/>
      <c r="G128" s="1"/>
      <c r="H128" s="1"/>
      <c r="I128" s="1"/>
      <c r="J128" s="2"/>
    </row>
    <row r="129">
      <c r="B129" s="1"/>
      <c r="C129" s="1"/>
      <c r="D129" s="1"/>
      <c r="E129" s="1"/>
      <c r="F129" s="1"/>
      <c r="G129" s="1"/>
      <c r="H129" s="1"/>
      <c r="I129" s="1"/>
      <c r="J129" s="2"/>
    </row>
    <row r="130">
      <c r="B130" s="1"/>
      <c r="C130" s="1"/>
      <c r="D130" s="1"/>
      <c r="E130" s="1"/>
      <c r="F130" s="1"/>
      <c r="G130" s="1"/>
      <c r="H130" s="1"/>
      <c r="I130" s="1"/>
      <c r="J130" s="2"/>
    </row>
    <row r="131">
      <c r="B131" s="1"/>
      <c r="C131" s="1"/>
      <c r="D131" s="1"/>
      <c r="E131" s="1"/>
      <c r="F131" s="1"/>
      <c r="G131" s="1"/>
      <c r="H131" s="1"/>
      <c r="I131" s="1"/>
      <c r="J131" s="2"/>
    </row>
    <row r="132">
      <c r="B132" s="1"/>
      <c r="C132" s="1"/>
      <c r="D132" s="1"/>
      <c r="E132" s="1"/>
      <c r="F132" s="1"/>
      <c r="G132" s="1"/>
      <c r="H132" s="1"/>
      <c r="I132" s="1"/>
      <c r="J132" s="2"/>
    </row>
    <row r="133">
      <c r="B133" s="1"/>
      <c r="C133" s="1"/>
      <c r="D133" s="1"/>
      <c r="E133" s="1"/>
      <c r="F133" s="1"/>
      <c r="G133" s="1"/>
      <c r="H133" s="1"/>
      <c r="I133" s="1"/>
      <c r="J133" s="2"/>
    </row>
    <row r="134">
      <c r="B134" s="1"/>
      <c r="C134" s="1"/>
      <c r="D134" s="1"/>
      <c r="E134" s="1"/>
      <c r="F134" s="1"/>
      <c r="G134" s="1"/>
      <c r="H134" s="1"/>
      <c r="I134" s="1"/>
      <c r="J134" s="2"/>
    </row>
    <row r="135">
      <c r="B135" s="1"/>
      <c r="C135" s="1"/>
      <c r="D135" s="1"/>
      <c r="E135" s="1"/>
      <c r="F135" s="1"/>
      <c r="G135" s="1"/>
      <c r="H135" s="1"/>
      <c r="I135" s="1"/>
      <c r="J135" s="2"/>
    </row>
    <row r="136">
      <c r="B136" s="1"/>
      <c r="C136" s="1"/>
      <c r="D136" s="1"/>
      <c r="E136" s="1"/>
      <c r="F136" s="1"/>
      <c r="G136" s="1"/>
      <c r="H136" s="1"/>
      <c r="I136" s="1"/>
      <c r="J136" s="2"/>
    </row>
    <row r="137">
      <c r="B137" s="1"/>
      <c r="C137" s="1"/>
      <c r="D137" s="1"/>
      <c r="E137" s="1"/>
      <c r="F137" s="1"/>
      <c r="G137" s="1"/>
      <c r="H137" s="1"/>
      <c r="I137" s="1"/>
      <c r="J137" s="2"/>
    </row>
    <row r="138">
      <c r="B138" s="1"/>
      <c r="C138" s="1"/>
      <c r="D138" s="1"/>
      <c r="E138" s="1"/>
      <c r="F138" s="1"/>
      <c r="G138" s="1"/>
      <c r="H138" s="1"/>
      <c r="I138" s="1"/>
      <c r="J138" s="2"/>
    </row>
    <row r="139">
      <c r="B139" s="1"/>
      <c r="C139" s="1"/>
      <c r="D139" s="1"/>
      <c r="E139" s="1"/>
      <c r="F139" s="1"/>
      <c r="G139" s="1"/>
      <c r="H139" s="1"/>
      <c r="I139" s="1"/>
      <c r="J139" s="2"/>
    </row>
    <row r="140">
      <c r="B140" s="1"/>
      <c r="C140" s="1"/>
      <c r="D140" s="1"/>
      <c r="E140" s="1"/>
      <c r="F140" s="1"/>
      <c r="G140" s="1"/>
      <c r="H140" s="1"/>
      <c r="I140" s="1"/>
      <c r="J140" s="2"/>
    </row>
    <row r="141">
      <c r="B141" s="1"/>
      <c r="C141" s="1"/>
      <c r="D141" s="1"/>
      <c r="E141" s="1"/>
      <c r="F141" s="1"/>
      <c r="G141" s="1"/>
      <c r="H141" s="1"/>
      <c r="I141" s="1"/>
      <c r="J141" s="2"/>
    </row>
    <row r="142">
      <c r="B142" s="1"/>
      <c r="C142" s="1"/>
      <c r="D142" s="1"/>
      <c r="E142" s="1"/>
      <c r="F142" s="1"/>
      <c r="G142" s="1"/>
      <c r="H142" s="1"/>
      <c r="I142" s="1"/>
      <c r="J142" s="2"/>
    </row>
    <row r="143">
      <c r="B143" s="1"/>
      <c r="C143" s="1"/>
      <c r="D143" s="1"/>
      <c r="E143" s="1"/>
      <c r="F143" s="1"/>
      <c r="G143" s="1"/>
      <c r="H143" s="1"/>
      <c r="I143" s="1"/>
      <c r="J143" s="2"/>
    </row>
    <row r="144">
      <c r="B144" s="1"/>
      <c r="C144" s="1"/>
      <c r="D144" s="1"/>
      <c r="E144" s="1"/>
      <c r="F144" s="1"/>
      <c r="G144" s="1"/>
      <c r="H144" s="1"/>
      <c r="I144" s="1"/>
      <c r="J144" s="2"/>
    </row>
    <row r="145">
      <c r="B145" s="1"/>
      <c r="C145" s="1"/>
      <c r="D145" s="1"/>
      <c r="E145" s="1"/>
      <c r="F145" s="1"/>
      <c r="G145" s="1"/>
      <c r="H145" s="1"/>
      <c r="I145" s="1"/>
      <c r="J145" s="2"/>
    </row>
    <row r="146">
      <c r="B146" s="1"/>
      <c r="C146" s="1"/>
      <c r="D146" s="1"/>
      <c r="E146" s="1"/>
      <c r="F146" s="1"/>
      <c r="G146" s="1"/>
      <c r="H146" s="1"/>
      <c r="I146" s="1"/>
      <c r="J146" s="2"/>
    </row>
    <row r="147">
      <c r="B147" s="1"/>
      <c r="C147" s="1"/>
      <c r="D147" s="1"/>
      <c r="E147" s="1"/>
      <c r="F147" s="1"/>
      <c r="G147" s="1"/>
      <c r="H147" s="1"/>
      <c r="I147" s="1"/>
      <c r="J147" s="2"/>
    </row>
    <row r="148">
      <c r="B148" s="1"/>
      <c r="C148" s="1"/>
      <c r="D148" s="1"/>
      <c r="E148" s="1"/>
      <c r="F148" s="1"/>
      <c r="G148" s="1"/>
      <c r="H148" s="1"/>
      <c r="I148" s="1"/>
      <c r="J148" s="2"/>
    </row>
    <row r="149">
      <c r="B149" s="1"/>
      <c r="C149" s="1"/>
      <c r="D149" s="1"/>
      <c r="E149" s="1"/>
      <c r="F149" s="1"/>
      <c r="G149" s="1"/>
      <c r="H149" s="1"/>
      <c r="I149" s="1"/>
      <c r="J149" s="2"/>
    </row>
    <row r="150">
      <c r="B150" s="1"/>
      <c r="C150" s="1"/>
      <c r="D150" s="1"/>
      <c r="E150" s="1"/>
      <c r="F150" s="1"/>
      <c r="G150" s="1"/>
      <c r="H150" s="1"/>
      <c r="I150" s="1"/>
      <c r="J150" s="2"/>
    </row>
    <row r="151">
      <c r="B151" s="1"/>
      <c r="C151" s="1"/>
      <c r="D151" s="1"/>
      <c r="E151" s="1"/>
      <c r="F151" s="1"/>
      <c r="G151" s="1"/>
      <c r="H151" s="1"/>
      <c r="I151" s="1"/>
      <c r="J151" s="2"/>
    </row>
    <row r="152">
      <c r="B152" s="1"/>
      <c r="C152" s="1"/>
      <c r="D152" s="1"/>
      <c r="E152" s="1"/>
      <c r="F152" s="1"/>
      <c r="G152" s="1"/>
      <c r="H152" s="1"/>
      <c r="I152" s="1"/>
      <c r="J152" s="2"/>
    </row>
    <row r="153">
      <c r="B153" s="1"/>
      <c r="C153" s="1"/>
      <c r="D153" s="1"/>
      <c r="E153" s="1"/>
      <c r="F153" s="1"/>
      <c r="G153" s="1"/>
      <c r="H153" s="1"/>
      <c r="I153" s="1"/>
      <c r="J153" s="2"/>
    </row>
    <row r="154">
      <c r="B154" s="1"/>
      <c r="C154" s="1"/>
      <c r="D154" s="1"/>
      <c r="E154" s="1"/>
      <c r="F154" s="1"/>
      <c r="G154" s="1"/>
      <c r="H154" s="1"/>
      <c r="I154" s="1"/>
      <c r="J154" s="2"/>
    </row>
    <row r="155">
      <c r="B155" s="1"/>
      <c r="C155" s="1"/>
      <c r="D155" s="1"/>
      <c r="E155" s="1"/>
      <c r="F155" s="1"/>
      <c r="G155" s="1"/>
      <c r="H155" s="1"/>
      <c r="I155" s="1"/>
      <c r="J155" s="2"/>
    </row>
    <row r="156">
      <c r="B156" s="1"/>
      <c r="C156" s="1"/>
      <c r="D156" s="1"/>
      <c r="E156" s="1"/>
      <c r="F156" s="1"/>
      <c r="G156" s="1"/>
      <c r="H156" s="1"/>
      <c r="I156" s="1"/>
      <c r="J156" s="2"/>
    </row>
    <row r="157">
      <c r="B157" s="1"/>
      <c r="C157" s="1"/>
      <c r="D157" s="1"/>
      <c r="E157" s="1"/>
      <c r="F157" s="1"/>
      <c r="G157" s="1"/>
      <c r="H157" s="1"/>
      <c r="I157" s="1"/>
      <c r="J157" s="2"/>
    </row>
    <row r="158">
      <c r="B158" s="1"/>
      <c r="C158" s="1"/>
      <c r="D158" s="1"/>
      <c r="E158" s="1"/>
      <c r="F158" s="1"/>
      <c r="G158" s="1"/>
      <c r="H158" s="1"/>
      <c r="I158" s="1"/>
      <c r="J158" s="2"/>
    </row>
    <row r="159">
      <c r="B159" s="1"/>
      <c r="C159" s="1"/>
      <c r="D159" s="1"/>
      <c r="E159" s="1"/>
      <c r="F159" s="1"/>
      <c r="G159" s="1"/>
      <c r="H159" s="1"/>
      <c r="I159" s="1"/>
      <c r="J159" s="2"/>
    </row>
    <row r="160">
      <c r="B160" s="1"/>
      <c r="C160" s="1"/>
      <c r="D160" s="1"/>
      <c r="E160" s="1"/>
      <c r="F160" s="1"/>
      <c r="G160" s="1"/>
      <c r="H160" s="1"/>
      <c r="I160" s="1"/>
      <c r="J160" s="2"/>
    </row>
    <row r="161">
      <c r="B161" s="1"/>
      <c r="C161" s="1"/>
      <c r="D161" s="1"/>
      <c r="E161" s="1"/>
      <c r="F161" s="1"/>
      <c r="G161" s="1"/>
      <c r="H161" s="1"/>
      <c r="I161" s="1"/>
      <c r="J161" s="2"/>
    </row>
    <row r="162">
      <c r="B162" s="1"/>
      <c r="C162" s="1"/>
      <c r="D162" s="1"/>
      <c r="E162" s="1"/>
      <c r="F162" s="1"/>
      <c r="G162" s="1"/>
      <c r="H162" s="1"/>
      <c r="I162" s="1"/>
      <c r="J162" s="2"/>
    </row>
    <row r="163">
      <c r="B163" s="1"/>
      <c r="C163" s="1"/>
      <c r="D163" s="1"/>
      <c r="E163" s="1"/>
      <c r="F163" s="1"/>
      <c r="G163" s="1"/>
      <c r="H163" s="1"/>
      <c r="I163" s="1"/>
      <c r="J163" s="2"/>
    </row>
    <row r="164">
      <c r="B164" s="1"/>
      <c r="C164" s="1"/>
      <c r="D164" s="1"/>
      <c r="E164" s="1"/>
      <c r="F164" s="1"/>
      <c r="G164" s="1"/>
      <c r="H164" s="1"/>
      <c r="I164" s="1"/>
      <c r="J164" s="2"/>
    </row>
    <row r="165">
      <c r="B165" s="1"/>
      <c r="C165" s="1"/>
      <c r="D165" s="1"/>
      <c r="E165" s="1"/>
      <c r="F165" s="1"/>
      <c r="G165" s="1"/>
      <c r="H165" s="1"/>
      <c r="I165" s="1"/>
      <c r="J165" s="2"/>
    </row>
    <row r="166">
      <c r="B166" s="1"/>
      <c r="C166" s="1"/>
      <c r="D166" s="1"/>
      <c r="E166" s="1"/>
      <c r="F166" s="1"/>
      <c r="G166" s="1"/>
      <c r="H166" s="1"/>
      <c r="I166" s="1"/>
      <c r="J166" s="2"/>
    </row>
    <row r="167">
      <c r="B167" s="1"/>
      <c r="C167" s="1"/>
      <c r="D167" s="1"/>
      <c r="E167" s="1"/>
      <c r="F167" s="1"/>
      <c r="G167" s="1"/>
      <c r="H167" s="1"/>
      <c r="I167" s="1"/>
      <c r="J167" s="2"/>
    </row>
    <row r="168">
      <c r="B168" s="1"/>
      <c r="C168" s="1"/>
      <c r="D168" s="1"/>
      <c r="E168" s="1"/>
      <c r="F168" s="1"/>
      <c r="G168" s="1"/>
      <c r="H168" s="1"/>
      <c r="I168" s="1"/>
      <c r="J168" s="2"/>
    </row>
    <row r="169">
      <c r="B169" s="1"/>
      <c r="C169" s="1"/>
      <c r="D169" s="1"/>
      <c r="E169" s="1"/>
      <c r="F169" s="1"/>
      <c r="G169" s="1"/>
      <c r="H169" s="1"/>
      <c r="I169" s="1"/>
      <c r="J169" s="2"/>
    </row>
    <row r="170">
      <c r="B170" s="1"/>
      <c r="C170" s="1"/>
      <c r="D170" s="1"/>
      <c r="E170" s="1"/>
      <c r="F170" s="1"/>
      <c r="G170" s="1"/>
      <c r="H170" s="1"/>
      <c r="I170" s="1"/>
      <c r="J170" s="2"/>
    </row>
    <row r="171">
      <c r="B171" s="1"/>
      <c r="C171" s="1"/>
      <c r="D171" s="1"/>
      <c r="E171" s="1"/>
      <c r="F171" s="1"/>
      <c r="G171" s="1"/>
      <c r="H171" s="1"/>
      <c r="I171" s="1"/>
      <c r="J171" s="2"/>
    </row>
    <row r="172">
      <c r="B172" s="1"/>
      <c r="C172" s="1"/>
      <c r="D172" s="1"/>
      <c r="E172" s="1"/>
      <c r="F172" s="1"/>
      <c r="G172" s="1"/>
      <c r="H172" s="1"/>
      <c r="I172" s="1"/>
      <c r="J172" s="2"/>
    </row>
    <row r="173">
      <c r="B173" s="1"/>
      <c r="C173" s="1"/>
      <c r="D173" s="1"/>
      <c r="E173" s="1"/>
      <c r="F173" s="1"/>
      <c r="G173" s="1"/>
      <c r="H173" s="1"/>
      <c r="I173" s="1"/>
      <c r="J173" s="2"/>
    </row>
    <row r="174">
      <c r="B174" s="1"/>
      <c r="C174" s="1"/>
      <c r="D174" s="1"/>
      <c r="E174" s="1"/>
      <c r="F174" s="1"/>
      <c r="G174" s="1"/>
      <c r="H174" s="1"/>
      <c r="I174" s="1"/>
      <c r="J174" s="2"/>
    </row>
    <row r="175">
      <c r="B175" s="1"/>
      <c r="C175" s="1"/>
      <c r="D175" s="1"/>
      <c r="E175" s="1"/>
      <c r="F175" s="1"/>
      <c r="G175" s="1"/>
      <c r="H175" s="1"/>
      <c r="I175" s="1"/>
      <c r="J175" s="2"/>
    </row>
    <row r="176">
      <c r="B176" s="1"/>
      <c r="C176" s="1"/>
      <c r="D176" s="1"/>
      <c r="E176" s="1"/>
      <c r="F176" s="1"/>
      <c r="G176" s="1"/>
      <c r="H176" s="1"/>
      <c r="I176" s="1"/>
      <c r="J176" s="2"/>
    </row>
    <row r="177">
      <c r="B177" s="1"/>
      <c r="C177" s="1"/>
      <c r="D177" s="1"/>
      <c r="E177" s="1"/>
      <c r="F177" s="1"/>
      <c r="G177" s="1"/>
      <c r="H177" s="1"/>
      <c r="I177" s="1"/>
      <c r="J177" s="2"/>
    </row>
    <row r="178">
      <c r="B178" s="1"/>
      <c r="C178" s="1"/>
      <c r="D178" s="1"/>
      <c r="E178" s="1"/>
      <c r="F178" s="1"/>
      <c r="G178" s="1"/>
      <c r="H178" s="1"/>
      <c r="I178" s="1"/>
      <c r="J178" s="2"/>
    </row>
    <row r="179">
      <c r="B179" s="1"/>
      <c r="C179" s="1"/>
      <c r="D179" s="1"/>
      <c r="E179" s="1"/>
      <c r="F179" s="1"/>
      <c r="G179" s="1"/>
      <c r="H179" s="1"/>
      <c r="I179" s="1"/>
      <c r="J179" s="2"/>
    </row>
    <row r="180">
      <c r="B180" s="1"/>
      <c r="C180" s="1"/>
      <c r="D180" s="1"/>
      <c r="E180" s="1"/>
      <c r="F180" s="1"/>
      <c r="G180" s="1"/>
      <c r="H180" s="1"/>
      <c r="I180" s="1"/>
      <c r="J180" s="2"/>
    </row>
    <row r="181">
      <c r="B181" s="1"/>
      <c r="C181" s="1"/>
      <c r="D181" s="1"/>
      <c r="E181" s="1"/>
      <c r="F181" s="1"/>
      <c r="G181" s="1"/>
      <c r="H181" s="1"/>
      <c r="I181" s="1"/>
      <c r="J181" s="2"/>
    </row>
    <row r="182">
      <c r="B182" s="1"/>
      <c r="C182" s="1"/>
      <c r="D182" s="1"/>
      <c r="E182" s="1"/>
      <c r="F182" s="1"/>
      <c r="G182" s="1"/>
      <c r="H182" s="1"/>
      <c r="I182" s="1"/>
      <c r="J182" s="2"/>
    </row>
    <row r="183">
      <c r="B183" s="1"/>
      <c r="C183" s="1"/>
      <c r="D183" s="1"/>
      <c r="E183" s="1"/>
      <c r="F183" s="1"/>
      <c r="G183" s="1"/>
      <c r="H183" s="1"/>
      <c r="I183" s="1"/>
      <c r="J183" s="2"/>
    </row>
    <row r="184">
      <c r="B184" s="1"/>
      <c r="C184" s="1"/>
      <c r="D184" s="1"/>
      <c r="E184" s="1"/>
      <c r="F184" s="1"/>
      <c r="G184" s="1"/>
      <c r="H184" s="1"/>
      <c r="I184" s="1"/>
      <c r="J184" s="2"/>
    </row>
    <row r="185">
      <c r="B185" s="1"/>
      <c r="C185" s="1"/>
      <c r="D185" s="1"/>
      <c r="E185" s="1"/>
      <c r="F185" s="1"/>
      <c r="G185" s="1"/>
      <c r="H185" s="1"/>
      <c r="I185" s="1"/>
      <c r="J185" s="2"/>
    </row>
    <row r="186">
      <c r="B186" s="1"/>
      <c r="C186" s="1"/>
      <c r="D186" s="1"/>
      <c r="E186" s="1"/>
      <c r="F186" s="1"/>
      <c r="G186" s="1"/>
      <c r="H186" s="1"/>
      <c r="I186" s="1"/>
      <c r="J186" s="2"/>
    </row>
    <row r="187">
      <c r="B187" s="1"/>
      <c r="C187" s="1"/>
      <c r="D187" s="1"/>
      <c r="E187" s="1"/>
      <c r="F187" s="1"/>
      <c r="G187" s="1"/>
      <c r="H187" s="1"/>
      <c r="I187" s="1"/>
      <c r="J187" s="2"/>
    </row>
    <row r="188">
      <c r="B188" s="1"/>
      <c r="C188" s="1"/>
      <c r="D188" s="1"/>
      <c r="E188" s="1"/>
      <c r="F188" s="1"/>
      <c r="G188" s="1"/>
      <c r="H188" s="1"/>
      <c r="I188" s="1"/>
      <c r="J188" s="2"/>
    </row>
    <row r="189">
      <c r="B189" s="1"/>
      <c r="C189" s="1"/>
      <c r="D189" s="1"/>
      <c r="E189" s="1"/>
      <c r="F189" s="1"/>
      <c r="G189" s="1"/>
      <c r="H189" s="1"/>
      <c r="I189" s="1"/>
      <c r="J189" s="2"/>
    </row>
    <row r="190">
      <c r="B190" s="1"/>
      <c r="C190" s="1"/>
      <c r="D190" s="1"/>
      <c r="E190" s="1"/>
      <c r="F190" s="1"/>
      <c r="G190" s="1"/>
      <c r="H190" s="1"/>
      <c r="I190" s="1"/>
      <c r="J190" s="2"/>
    </row>
    <row r="191">
      <c r="B191" s="1"/>
      <c r="C191" s="1"/>
      <c r="D191" s="1"/>
      <c r="E191" s="1"/>
      <c r="F191" s="1"/>
      <c r="G191" s="1"/>
      <c r="H191" s="1"/>
      <c r="I191" s="1"/>
      <c r="J191" s="2"/>
    </row>
    <row r="192">
      <c r="B192" s="1"/>
      <c r="C192" s="1"/>
      <c r="D192" s="1"/>
      <c r="E192" s="1"/>
      <c r="F192" s="1"/>
      <c r="G192" s="1"/>
      <c r="H192" s="1"/>
      <c r="I192" s="1"/>
      <c r="J192" s="2"/>
    </row>
    <row r="193">
      <c r="B193" s="1"/>
      <c r="C193" s="1"/>
      <c r="D193" s="1"/>
      <c r="E193" s="1"/>
      <c r="F193" s="1"/>
      <c r="G193" s="1"/>
      <c r="H193" s="1"/>
      <c r="I193" s="1"/>
      <c r="J193" s="2"/>
    </row>
    <row r="194">
      <c r="B194" s="1"/>
      <c r="C194" s="1"/>
      <c r="D194" s="1"/>
      <c r="E194" s="1"/>
      <c r="F194" s="1"/>
      <c r="G194" s="1"/>
      <c r="H194" s="1"/>
      <c r="I194" s="1"/>
      <c r="J194" s="2"/>
    </row>
    <row r="195">
      <c r="B195" s="1"/>
      <c r="C195" s="1"/>
      <c r="D195" s="1"/>
      <c r="E195" s="1"/>
      <c r="F195" s="1"/>
      <c r="G195" s="1"/>
      <c r="H195" s="1"/>
      <c r="I195" s="1"/>
      <c r="J195" s="2"/>
    </row>
    <row r="196">
      <c r="B196" s="1"/>
      <c r="C196" s="1"/>
      <c r="D196" s="1"/>
      <c r="E196" s="1"/>
      <c r="F196" s="1"/>
      <c r="G196" s="1"/>
      <c r="H196" s="1"/>
      <c r="I196" s="1"/>
      <c r="J196" s="2"/>
    </row>
    <row r="197">
      <c r="B197" s="1"/>
      <c r="C197" s="1"/>
      <c r="D197" s="1"/>
      <c r="E197" s="1"/>
      <c r="F197" s="1"/>
      <c r="G197" s="1"/>
      <c r="H197" s="1"/>
      <c r="I197" s="1"/>
      <c r="J197" s="2"/>
    </row>
    <row r="198">
      <c r="B198" s="1"/>
      <c r="C198" s="1"/>
      <c r="D198" s="1"/>
      <c r="E198" s="1"/>
      <c r="F198" s="1"/>
      <c r="G198" s="1"/>
      <c r="H198" s="1"/>
      <c r="I198" s="1"/>
      <c r="J198" s="2"/>
    </row>
    <row r="199">
      <c r="B199" s="1"/>
      <c r="C199" s="1"/>
      <c r="D199" s="1"/>
      <c r="E199" s="1"/>
      <c r="F199" s="1"/>
      <c r="G199" s="1"/>
      <c r="H199" s="1"/>
      <c r="I199" s="1"/>
      <c r="J199" s="2"/>
    </row>
    <row r="200">
      <c r="B200" s="1"/>
      <c r="C200" s="1"/>
      <c r="D200" s="1"/>
      <c r="E200" s="1"/>
      <c r="F200" s="1"/>
      <c r="G200" s="1"/>
      <c r="H200" s="1"/>
      <c r="I200" s="1"/>
      <c r="J200" s="2"/>
    </row>
    <row r="201">
      <c r="B201" s="1"/>
      <c r="C201" s="1"/>
      <c r="D201" s="1"/>
      <c r="E201" s="1"/>
      <c r="F201" s="1"/>
      <c r="G201" s="1"/>
      <c r="H201" s="1"/>
      <c r="I201" s="1"/>
      <c r="J201" s="2"/>
    </row>
    <row r="202">
      <c r="B202" s="1"/>
      <c r="C202" s="1"/>
      <c r="D202" s="1"/>
      <c r="E202" s="1"/>
      <c r="F202" s="1"/>
      <c r="G202" s="1"/>
      <c r="H202" s="1"/>
      <c r="I202" s="1"/>
      <c r="J202" s="2"/>
    </row>
    <row r="203">
      <c r="B203" s="1"/>
      <c r="C203" s="1"/>
      <c r="D203" s="1"/>
      <c r="E203" s="1"/>
      <c r="F203" s="1"/>
      <c r="G203" s="1"/>
      <c r="H203" s="1"/>
      <c r="I203" s="1"/>
      <c r="J203" s="2"/>
    </row>
    <row r="204">
      <c r="B204" s="1"/>
      <c r="C204" s="1"/>
      <c r="D204" s="1"/>
      <c r="E204" s="1"/>
      <c r="F204" s="1"/>
      <c r="G204" s="1"/>
      <c r="H204" s="1"/>
      <c r="I204" s="1"/>
      <c r="J204" s="2"/>
    </row>
    <row r="205">
      <c r="B205" s="1"/>
      <c r="C205" s="1"/>
      <c r="D205" s="1"/>
      <c r="E205" s="1"/>
      <c r="F205" s="1"/>
      <c r="G205" s="1"/>
      <c r="H205" s="1"/>
      <c r="I205" s="1"/>
      <c r="J205" s="2"/>
    </row>
    <row r="206">
      <c r="B206" s="1"/>
      <c r="C206" s="1"/>
      <c r="D206" s="1"/>
      <c r="E206" s="1"/>
      <c r="F206" s="1"/>
      <c r="G206" s="1"/>
      <c r="H206" s="1"/>
      <c r="I206" s="1"/>
      <c r="J206" s="2"/>
    </row>
    <row r="207">
      <c r="B207" s="1"/>
      <c r="C207" s="1"/>
      <c r="D207" s="1"/>
      <c r="E207" s="1"/>
      <c r="F207" s="1"/>
      <c r="G207" s="1"/>
      <c r="H207" s="1"/>
      <c r="I207" s="1"/>
      <c r="J207" s="2"/>
    </row>
    <row r="208">
      <c r="B208" s="1"/>
      <c r="C208" s="1"/>
      <c r="D208" s="1"/>
      <c r="E208" s="1"/>
      <c r="F208" s="1"/>
      <c r="G208" s="1"/>
      <c r="H208" s="1"/>
      <c r="I208" s="1"/>
      <c r="J208" s="2"/>
    </row>
    <row r="209">
      <c r="B209" s="1"/>
      <c r="C209" s="1"/>
      <c r="D209" s="1"/>
      <c r="E209" s="1"/>
      <c r="F209" s="1"/>
      <c r="G209" s="1"/>
      <c r="H209" s="1"/>
      <c r="I209" s="1"/>
      <c r="J209" s="2"/>
    </row>
    <row r="210">
      <c r="B210" s="1"/>
      <c r="C210" s="1"/>
      <c r="D210" s="1"/>
      <c r="E210" s="1"/>
      <c r="F210" s="1"/>
      <c r="G210" s="1"/>
      <c r="H210" s="1"/>
      <c r="I210" s="1"/>
      <c r="J210" s="2"/>
    </row>
    <row r="211">
      <c r="B211" s="1"/>
      <c r="C211" s="1"/>
      <c r="D211" s="1"/>
      <c r="E211" s="1"/>
      <c r="F211" s="1"/>
      <c r="G211" s="1"/>
      <c r="H211" s="1"/>
      <c r="I211" s="1"/>
      <c r="J211" s="2"/>
    </row>
    <row r="212">
      <c r="B212" s="1"/>
      <c r="C212" s="1"/>
      <c r="D212" s="1"/>
      <c r="E212" s="1"/>
      <c r="F212" s="1"/>
      <c r="G212" s="1"/>
      <c r="H212" s="1"/>
      <c r="I212" s="1"/>
      <c r="J212" s="2"/>
    </row>
    <row r="213">
      <c r="B213" s="1"/>
      <c r="C213" s="1"/>
      <c r="D213" s="1"/>
      <c r="E213" s="1"/>
      <c r="F213" s="1"/>
      <c r="G213" s="1"/>
      <c r="H213" s="1"/>
      <c r="I213" s="1"/>
      <c r="J213" s="2"/>
    </row>
    <row r="214">
      <c r="B214" s="1"/>
      <c r="C214" s="1"/>
      <c r="D214" s="1"/>
      <c r="E214" s="1"/>
      <c r="F214" s="1"/>
      <c r="G214" s="1"/>
      <c r="H214" s="1"/>
      <c r="I214" s="1"/>
      <c r="J214" s="2"/>
    </row>
    <row r="215">
      <c r="B215" s="1"/>
      <c r="C215" s="1"/>
      <c r="D215" s="1"/>
      <c r="E215" s="1"/>
      <c r="F215" s="1"/>
      <c r="G215" s="1"/>
      <c r="H215" s="1"/>
      <c r="I215" s="1"/>
      <c r="J215" s="2"/>
    </row>
    <row r="216">
      <c r="B216" s="1"/>
      <c r="C216" s="1"/>
      <c r="D216" s="1"/>
      <c r="E216" s="1"/>
      <c r="F216" s="1"/>
      <c r="G216" s="1"/>
      <c r="H216" s="1"/>
      <c r="I216" s="1"/>
      <c r="J216" s="2"/>
    </row>
    <row r="217">
      <c r="B217" s="1"/>
      <c r="C217" s="1"/>
      <c r="D217" s="1"/>
      <c r="E217" s="1"/>
      <c r="F217" s="1"/>
      <c r="G217" s="1"/>
      <c r="H217" s="1"/>
      <c r="I217" s="1"/>
      <c r="J217" s="2"/>
    </row>
    <row r="218">
      <c r="B218" s="1"/>
      <c r="C218" s="1"/>
      <c r="D218" s="1"/>
      <c r="E218" s="1"/>
      <c r="F218" s="1"/>
      <c r="G218" s="1"/>
      <c r="H218" s="1"/>
      <c r="I218" s="1"/>
      <c r="J218" s="2"/>
    </row>
    <row r="219">
      <c r="B219" s="1"/>
      <c r="C219" s="1"/>
      <c r="D219" s="1"/>
      <c r="E219" s="1"/>
      <c r="F219" s="1"/>
      <c r="G219" s="1"/>
      <c r="H219" s="1"/>
      <c r="I219" s="1"/>
      <c r="J219" s="2"/>
    </row>
    <row r="220">
      <c r="B220" s="1"/>
      <c r="C220" s="1"/>
      <c r="D220" s="1"/>
      <c r="E220" s="1"/>
      <c r="F220" s="1"/>
      <c r="G220" s="1"/>
      <c r="H220" s="1"/>
      <c r="I220" s="1"/>
      <c r="J220" s="2"/>
    </row>
    <row r="221">
      <c r="B221" s="1"/>
      <c r="C221" s="1"/>
      <c r="D221" s="1"/>
      <c r="E221" s="1"/>
      <c r="F221" s="1"/>
      <c r="G221" s="1"/>
      <c r="H221" s="1"/>
      <c r="I221" s="1"/>
      <c r="J221" s="2"/>
    </row>
    <row r="222">
      <c r="B222" s="1"/>
      <c r="C222" s="1"/>
      <c r="D222" s="1"/>
      <c r="E222" s="1"/>
      <c r="F222" s="1"/>
      <c r="G222" s="1"/>
      <c r="H222" s="1"/>
      <c r="I222" s="1"/>
      <c r="J222" s="2"/>
    </row>
    <row r="223">
      <c r="B223" s="1"/>
      <c r="C223" s="1"/>
      <c r="D223" s="1"/>
      <c r="E223" s="1"/>
      <c r="F223" s="1"/>
      <c r="G223" s="1"/>
      <c r="H223" s="1"/>
      <c r="I223" s="1"/>
      <c r="J223" s="2"/>
    </row>
    <row r="224">
      <c r="B224" s="1"/>
      <c r="C224" s="1"/>
      <c r="D224" s="1"/>
      <c r="E224" s="1"/>
      <c r="F224" s="1"/>
      <c r="G224" s="1"/>
      <c r="H224" s="1"/>
      <c r="I224" s="1"/>
      <c r="J224" s="2"/>
    </row>
    <row r="225">
      <c r="B225" s="1"/>
      <c r="C225" s="1"/>
      <c r="D225" s="1"/>
      <c r="E225" s="1"/>
      <c r="F225" s="1"/>
      <c r="G225" s="1"/>
      <c r="H225" s="1"/>
      <c r="I225" s="1"/>
      <c r="J225" s="2"/>
    </row>
    <row r="226">
      <c r="B226" s="1"/>
      <c r="C226" s="1"/>
      <c r="D226" s="1"/>
      <c r="E226" s="1"/>
      <c r="F226" s="1"/>
      <c r="G226" s="1"/>
      <c r="H226" s="1"/>
      <c r="I226" s="1"/>
      <c r="J226" s="2"/>
    </row>
    <row r="227">
      <c r="B227" s="1"/>
      <c r="C227" s="1"/>
      <c r="D227" s="1"/>
      <c r="E227" s="1"/>
      <c r="F227" s="1"/>
      <c r="G227" s="1"/>
      <c r="H227" s="1"/>
      <c r="I227" s="1"/>
      <c r="J227" s="2"/>
    </row>
    <row r="228">
      <c r="B228" s="1"/>
      <c r="C228" s="1"/>
      <c r="D228" s="1"/>
      <c r="E228" s="1"/>
      <c r="F228" s="1"/>
      <c r="G228" s="1"/>
      <c r="H228" s="1"/>
      <c r="I228" s="1"/>
      <c r="J228" s="2"/>
    </row>
    <row r="229">
      <c r="B229" s="1"/>
      <c r="C229" s="1"/>
      <c r="D229" s="1"/>
      <c r="E229" s="1"/>
      <c r="F229" s="1"/>
      <c r="G229" s="1"/>
      <c r="H229" s="1"/>
      <c r="I229" s="1"/>
      <c r="J229" s="2"/>
    </row>
    <row r="230">
      <c r="B230" s="1"/>
      <c r="C230" s="1"/>
      <c r="D230" s="1"/>
      <c r="E230" s="1"/>
      <c r="F230" s="1"/>
      <c r="G230" s="1"/>
      <c r="H230" s="1"/>
      <c r="I230" s="1"/>
      <c r="J230" s="2"/>
    </row>
    <row r="231">
      <c r="B231" s="1"/>
      <c r="C231" s="1"/>
      <c r="D231" s="1"/>
      <c r="E231" s="1"/>
      <c r="F231" s="1"/>
      <c r="G231" s="1"/>
      <c r="H231" s="1"/>
      <c r="I231" s="1"/>
      <c r="J231" s="2"/>
    </row>
    <row r="232">
      <c r="B232" s="1"/>
      <c r="C232" s="1"/>
      <c r="D232" s="1"/>
      <c r="E232" s="1"/>
      <c r="F232" s="1"/>
      <c r="G232" s="1"/>
      <c r="H232" s="1"/>
      <c r="I232" s="1"/>
      <c r="J232" s="2"/>
    </row>
    <row r="233">
      <c r="J233" s="7"/>
    </row>
    <row r="234">
      <c r="J234" s="7"/>
    </row>
    <row r="235">
      <c r="J235" s="7"/>
    </row>
    <row r="236">
      <c r="J236" s="7"/>
    </row>
    <row r="237">
      <c r="J237" s="7"/>
    </row>
    <row r="238">
      <c r="J238" s="7"/>
    </row>
    <row r="239">
      <c r="J239" s="7"/>
    </row>
    <row r="240">
      <c r="J240" s="7"/>
    </row>
    <row r="241">
      <c r="J241" s="7"/>
    </row>
    <row r="242">
      <c r="J242" s="7"/>
    </row>
    <row r="243">
      <c r="J243" s="7"/>
    </row>
    <row r="244">
      <c r="J244" s="7"/>
    </row>
    <row r="245">
      <c r="J245" s="7"/>
    </row>
    <row r="246">
      <c r="J246" s="7"/>
    </row>
    <row r="247">
      <c r="J247" s="7"/>
    </row>
    <row r="248">
      <c r="J248" s="7"/>
    </row>
    <row r="249">
      <c r="J249" s="7"/>
    </row>
    <row r="250">
      <c r="J250" s="7"/>
    </row>
    <row r="251">
      <c r="J251" s="7"/>
    </row>
    <row r="252">
      <c r="J252" s="7"/>
    </row>
    <row r="253">
      <c r="J253" s="7"/>
    </row>
    <row r="254">
      <c r="J254" s="7"/>
    </row>
    <row r="255">
      <c r="J255" s="7"/>
    </row>
    <row r="256">
      <c r="J256" s="7"/>
    </row>
    <row r="257">
      <c r="J257" s="7"/>
    </row>
    <row r="258">
      <c r="J258" s="7"/>
    </row>
    <row r="259">
      <c r="J259" s="7"/>
    </row>
    <row r="260">
      <c r="J260" s="7"/>
    </row>
    <row r="261">
      <c r="J261" s="7"/>
    </row>
    <row r="262">
      <c r="J262" s="7"/>
    </row>
    <row r="263">
      <c r="J263" s="7"/>
    </row>
    <row r="264">
      <c r="J264" s="7"/>
    </row>
    <row r="265">
      <c r="J265" s="7"/>
    </row>
    <row r="266">
      <c r="J266" s="7"/>
    </row>
    <row r="267">
      <c r="J267" s="7"/>
    </row>
    <row r="268">
      <c r="J268" s="7"/>
    </row>
    <row r="269">
      <c r="J269" s="7"/>
    </row>
    <row r="270">
      <c r="J270" s="7"/>
    </row>
    <row r="271">
      <c r="J271" s="7"/>
    </row>
    <row r="272">
      <c r="J272" s="7"/>
    </row>
    <row r="273">
      <c r="J273" s="7"/>
    </row>
    <row r="274">
      <c r="J274" s="7"/>
    </row>
    <row r="275">
      <c r="J275" s="7"/>
    </row>
    <row r="276">
      <c r="J276" s="7"/>
    </row>
    <row r="277">
      <c r="J277" s="7"/>
    </row>
    <row r="278">
      <c r="J278" s="7"/>
    </row>
    <row r="279">
      <c r="J279" s="7"/>
    </row>
    <row r="280">
      <c r="J280" s="7"/>
    </row>
    <row r="281">
      <c r="J281" s="7"/>
    </row>
    <row r="282">
      <c r="J282" s="7"/>
    </row>
    <row r="283">
      <c r="J283" s="7"/>
    </row>
    <row r="284">
      <c r="J284" s="7"/>
    </row>
    <row r="285">
      <c r="J285" s="7"/>
    </row>
    <row r="286">
      <c r="J286" s="7"/>
    </row>
    <row r="287">
      <c r="J287" s="7"/>
    </row>
    <row r="288">
      <c r="J288" s="7"/>
    </row>
    <row r="289">
      <c r="J289" s="7"/>
    </row>
    <row r="290">
      <c r="J290" s="7"/>
    </row>
    <row r="291">
      <c r="J291" s="7"/>
    </row>
    <row r="292">
      <c r="J292" s="7"/>
    </row>
    <row r="293">
      <c r="J293" s="7"/>
    </row>
    <row r="294">
      <c r="J294" s="7"/>
    </row>
    <row r="295">
      <c r="J295" s="7"/>
    </row>
    <row r="296">
      <c r="J296" s="7"/>
    </row>
    <row r="297">
      <c r="J297" s="7"/>
    </row>
    <row r="298">
      <c r="J298" s="7"/>
    </row>
    <row r="299">
      <c r="J299" s="7"/>
    </row>
    <row r="300">
      <c r="J300" s="7"/>
    </row>
    <row r="301">
      <c r="J301" s="7"/>
    </row>
    <row r="302">
      <c r="J302" s="7"/>
    </row>
    <row r="303">
      <c r="J303" s="7"/>
    </row>
    <row r="304">
      <c r="J304" s="7"/>
    </row>
    <row r="305">
      <c r="J305" s="7"/>
    </row>
    <row r="306">
      <c r="J306" s="7"/>
    </row>
    <row r="307">
      <c r="J307" s="7"/>
    </row>
    <row r="308">
      <c r="J308" s="7"/>
    </row>
    <row r="309">
      <c r="J309" s="7"/>
    </row>
    <row r="310">
      <c r="J310" s="7"/>
    </row>
    <row r="311">
      <c r="J311" s="7"/>
    </row>
    <row r="312">
      <c r="J312" s="7"/>
    </row>
    <row r="313">
      <c r="J313" s="7"/>
    </row>
    <row r="314">
      <c r="J314" s="7"/>
    </row>
    <row r="315">
      <c r="J315" s="7"/>
    </row>
    <row r="316">
      <c r="J316" s="7"/>
    </row>
    <row r="317">
      <c r="J317" s="7"/>
    </row>
    <row r="318">
      <c r="J318" s="7"/>
    </row>
    <row r="319">
      <c r="J319" s="7"/>
    </row>
    <row r="320">
      <c r="J320" s="7"/>
    </row>
    <row r="321">
      <c r="J321" s="7"/>
    </row>
    <row r="322">
      <c r="J322" s="7"/>
    </row>
    <row r="323">
      <c r="J323" s="7"/>
    </row>
    <row r="324">
      <c r="J324" s="7"/>
    </row>
    <row r="325">
      <c r="J325" s="7"/>
    </row>
    <row r="326">
      <c r="J326" s="7"/>
    </row>
    <row r="327">
      <c r="J327" s="7"/>
    </row>
    <row r="328">
      <c r="J328" s="7"/>
    </row>
    <row r="329">
      <c r="J329" s="7"/>
    </row>
    <row r="330">
      <c r="J330" s="7"/>
    </row>
    <row r="331">
      <c r="J331" s="7"/>
    </row>
    <row r="332">
      <c r="J332" s="7"/>
    </row>
    <row r="333">
      <c r="J333" s="7"/>
    </row>
    <row r="334">
      <c r="J334" s="7"/>
    </row>
    <row r="335">
      <c r="J335" s="7"/>
    </row>
    <row r="336">
      <c r="J336" s="7"/>
    </row>
    <row r="337">
      <c r="J337" s="7"/>
    </row>
    <row r="338">
      <c r="J338" s="7"/>
    </row>
    <row r="339">
      <c r="J339" s="7"/>
    </row>
    <row r="340">
      <c r="J340" s="7"/>
    </row>
    <row r="341">
      <c r="J341" s="7"/>
    </row>
    <row r="342">
      <c r="J342" s="7"/>
    </row>
    <row r="343">
      <c r="J343" s="7"/>
    </row>
    <row r="344">
      <c r="J344" s="7"/>
    </row>
    <row r="345">
      <c r="J345" s="7"/>
    </row>
    <row r="346">
      <c r="J346" s="7"/>
    </row>
    <row r="347">
      <c r="J347" s="7"/>
    </row>
    <row r="348">
      <c r="J348" s="7"/>
    </row>
    <row r="349">
      <c r="J349" s="7"/>
    </row>
    <row r="350">
      <c r="J350" s="7"/>
    </row>
    <row r="351">
      <c r="J351" s="7"/>
    </row>
    <row r="352">
      <c r="J352" s="7"/>
    </row>
    <row r="353">
      <c r="J353" s="7"/>
    </row>
    <row r="354">
      <c r="J354" s="7"/>
    </row>
    <row r="355">
      <c r="J355" s="7"/>
    </row>
    <row r="356">
      <c r="J356" s="7"/>
    </row>
    <row r="357">
      <c r="J357" s="7"/>
    </row>
    <row r="358">
      <c r="J358" s="7"/>
    </row>
    <row r="359">
      <c r="J359" s="7"/>
    </row>
    <row r="360">
      <c r="J360" s="7"/>
    </row>
    <row r="361">
      <c r="J361" s="7"/>
    </row>
    <row r="362">
      <c r="J362" s="7"/>
    </row>
    <row r="363">
      <c r="J363" s="7"/>
    </row>
    <row r="364">
      <c r="J364" s="7"/>
    </row>
    <row r="365">
      <c r="J365" s="7"/>
    </row>
    <row r="366">
      <c r="J366" s="7"/>
    </row>
    <row r="367">
      <c r="J367" s="7"/>
    </row>
    <row r="368">
      <c r="J368" s="7"/>
    </row>
    <row r="369">
      <c r="J369" s="7"/>
    </row>
    <row r="370">
      <c r="J370" s="7"/>
    </row>
    <row r="371">
      <c r="J371" s="7"/>
    </row>
    <row r="372">
      <c r="J372" s="7"/>
    </row>
    <row r="373">
      <c r="J373" s="7"/>
    </row>
    <row r="374">
      <c r="J374" s="7"/>
    </row>
    <row r="375">
      <c r="J375" s="7"/>
    </row>
    <row r="376">
      <c r="J376" s="7"/>
    </row>
    <row r="377">
      <c r="J377" s="7"/>
    </row>
    <row r="378">
      <c r="J378" s="7"/>
    </row>
    <row r="379">
      <c r="J379" s="7"/>
    </row>
    <row r="380">
      <c r="J380" s="7"/>
    </row>
    <row r="381">
      <c r="J381" s="7"/>
    </row>
    <row r="382">
      <c r="J382" s="7"/>
    </row>
    <row r="383">
      <c r="J383" s="7"/>
    </row>
    <row r="384">
      <c r="J384" s="7"/>
    </row>
    <row r="385">
      <c r="J385" s="7"/>
    </row>
    <row r="386">
      <c r="J386" s="7"/>
    </row>
    <row r="387">
      <c r="J387" s="7"/>
    </row>
    <row r="388">
      <c r="J388" s="7"/>
    </row>
    <row r="389">
      <c r="J389" s="7"/>
    </row>
    <row r="390">
      <c r="J390" s="7"/>
    </row>
    <row r="391">
      <c r="J391" s="7"/>
    </row>
    <row r="392">
      <c r="J392" s="7"/>
    </row>
    <row r="393">
      <c r="J393" s="7"/>
    </row>
    <row r="394">
      <c r="J394" s="7"/>
    </row>
    <row r="395">
      <c r="J395" s="7"/>
    </row>
    <row r="396">
      <c r="J396" s="7"/>
    </row>
    <row r="397">
      <c r="J397" s="7"/>
    </row>
    <row r="398">
      <c r="J398" s="7"/>
    </row>
    <row r="399">
      <c r="J399" s="7"/>
    </row>
    <row r="400">
      <c r="J400" s="7"/>
    </row>
    <row r="401">
      <c r="J401" s="7"/>
    </row>
    <row r="402">
      <c r="J402" s="7"/>
    </row>
    <row r="403">
      <c r="J403" s="7"/>
    </row>
    <row r="404">
      <c r="J404" s="7"/>
    </row>
    <row r="405">
      <c r="J405" s="7"/>
    </row>
    <row r="406">
      <c r="J406" s="7"/>
    </row>
    <row r="407">
      <c r="J407" s="7"/>
    </row>
    <row r="408">
      <c r="J408" s="7"/>
    </row>
    <row r="409">
      <c r="J409" s="7"/>
    </row>
    <row r="410">
      <c r="J410" s="7"/>
    </row>
    <row r="411">
      <c r="J411" s="7"/>
    </row>
    <row r="412">
      <c r="J412" s="7"/>
    </row>
    <row r="413">
      <c r="J413" s="7"/>
    </row>
    <row r="414">
      <c r="J414" s="7"/>
    </row>
    <row r="415">
      <c r="J415" s="7"/>
    </row>
    <row r="416">
      <c r="J416" s="7"/>
    </row>
    <row r="417">
      <c r="J417" s="7"/>
    </row>
    <row r="418">
      <c r="J418" s="7"/>
    </row>
    <row r="419">
      <c r="J419" s="7"/>
    </row>
    <row r="420">
      <c r="J420" s="7"/>
    </row>
    <row r="421">
      <c r="J421" s="7"/>
    </row>
    <row r="422">
      <c r="J422" s="7"/>
    </row>
    <row r="423">
      <c r="J423" s="7"/>
    </row>
    <row r="424">
      <c r="J424" s="7"/>
    </row>
    <row r="425">
      <c r="J425" s="7"/>
    </row>
    <row r="426">
      <c r="J426" s="7"/>
    </row>
    <row r="427">
      <c r="J427" s="7"/>
    </row>
    <row r="428">
      <c r="J428" s="7"/>
    </row>
    <row r="429">
      <c r="J429" s="7"/>
    </row>
    <row r="430">
      <c r="J430" s="7"/>
    </row>
    <row r="431">
      <c r="J431" s="7"/>
    </row>
    <row r="432">
      <c r="J432" s="7"/>
    </row>
    <row r="433">
      <c r="J433" s="7"/>
    </row>
    <row r="434">
      <c r="J434" s="7"/>
    </row>
    <row r="435">
      <c r="J435" s="7"/>
    </row>
    <row r="436">
      <c r="J436" s="7"/>
    </row>
    <row r="437">
      <c r="J437" s="7"/>
    </row>
    <row r="438">
      <c r="J438" s="7"/>
    </row>
    <row r="439">
      <c r="J439" s="7"/>
    </row>
    <row r="440">
      <c r="J440" s="7"/>
    </row>
    <row r="441">
      <c r="J441" s="7"/>
    </row>
    <row r="442">
      <c r="J442" s="7"/>
    </row>
    <row r="443">
      <c r="J443" s="7"/>
    </row>
    <row r="444">
      <c r="J444" s="7"/>
    </row>
    <row r="445">
      <c r="J445" s="7"/>
    </row>
    <row r="446">
      <c r="J446" s="7"/>
    </row>
    <row r="447">
      <c r="J447" s="7"/>
    </row>
    <row r="448">
      <c r="J448" s="7"/>
    </row>
    <row r="449">
      <c r="J449" s="7"/>
    </row>
    <row r="450">
      <c r="J450" s="7"/>
    </row>
    <row r="451">
      <c r="J451" s="7"/>
    </row>
    <row r="452">
      <c r="J452" s="7"/>
    </row>
    <row r="453">
      <c r="J453" s="7"/>
    </row>
    <row r="454">
      <c r="J454" s="7"/>
    </row>
    <row r="455">
      <c r="J455" s="7"/>
    </row>
    <row r="456">
      <c r="J456" s="7"/>
    </row>
    <row r="457">
      <c r="J457" s="7"/>
    </row>
    <row r="458">
      <c r="J458" s="7"/>
    </row>
    <row r="459">
      <c r="J459" s="7"/>
    </row>
    <row r="460">
      <c r="J460" s="7"/>
    </row>
    <row r="461">
      <c r="J461" s="7"/>
    </row>
    <row r="462">
      <c r="J462" s="7"/>
    </row>
    <row r="463">
      <c r="J463" s="7"/>
    </row>
    <row r="464">
      <c r="J464" s="7"/>
    </row>
    <row r="465">
      <c r="J465" s="7"/>
    </row>
    <row r="466">
      <c r="J466" s="7"/>
    </row>
    <row r="467">
      <c r="J467" s="7"/>
    </row>
    <row r="468">
      <c r="J468" s="7"/>
    </row>
    <row r="469">
      <c r="J469" s="7"/>
    </row>
    <row r="470">
      <c r="J470" s="7"/>
    </row>
    <row r="471">
      <c r="J471" s="7"/>
    </row>
    <row r="472">
      <c r="J472" s="7"/>
    </row>
    <row r="473">
      <c r="J473" s="7"/>
    </row>
    <row r="474">
      <c r="J474" s="7"/>
    </row>
    <row r="475">
      <c r="J475" s="7"/>
    </row>
    <row r="476">
      <c r="J476" s="7"/>
    </row>
    <row r="477">
      <c r="J477" s="7"/>
    </row>
    <row r="478">
      <c r="J478" s="7"/>
    </row>
    <row r="479">
      <c r="J479" s="7"/>
    </row>
    <row r="480">
      <c r="J480" s="7"/>
    </row>
    <row r="481">
      <c r="J481" s="7"/>
    </row>
    <row r="482">
      <c r="J482" s="7"/>
    </row>
    <row r="483">
      <c r="J483" s="7"/>
    </row>
    <row r="484">
      <c r="J484" s="7"/>
    </row>
    <row r="485">
      <c r="J485" s="7"/>
    </row>
    <row r="486">
      <c r="J486" s="7"/>
    </row>
    <row r="487">
      <c r="J487" s="7"/>
    </row>
    <row r="488">
      <c r="J488" s="7"/>
    </row>
    <row r="489">
      <c r="J489" s="7"/>
    </row>
    <row r="490">
      <c r="J490" s="7"/>
    </row>
    <row r="491">
      <c r="J491" s="7"/>
    </row>
    <row r="492">
      <c r="J492" s="7"/>
    </row>
    <row r="493">
      <c r="J493" s="7"/>
    </row>
    <row r="494">
      <c r="J494" s="7"/>
    </row>
    <row r="495">
      <c r="J495" s="7"/>
    </row>
    <row r="496">
      <c r="J496" s="7"/>
    </row>
    <row r="497">
      <c r="J497" s="7"/>
    </row>
    <row r="498">
      <c r="J498" s="7"/>
    </row>
    <row r="499">
      <c r="J499" s="7"/>
    </row>
    <row r="500">
      <c r="J500" s="7"/>
    </row>
    <row r="501">
      <c r="J501" s="7"/>
    </row>
    <row r="502">
      <c r="J502" s="7"/>
    </row>
    <row r="503">
      <c r="J503" s="7"/>
    </row>
    <row r="504">
      <c r="J504" s="7"/>
    </row>
    <row r="505">
      <c r="J505" s="7"/>
    </row>
    <row r="506">
      <c r="J506" s="7"/>
    </row>
    <row r="507">
      <c r="J507" s="7"/>
    </row>
    <row r="508">
      <c r="J508" s="7"/>
    </row>
    <row r="509">
      <c r="J509" s="7"/>
    </row>
    <row r="510">
      <c r="J510" s="7"/>
    </row>
    <row r="511">
      <c r="J511" s="7"/>
    </row>
    <row r="512">
      <c r="J512" s="7"/>
    </row>
    <row r="513">
      <c r="J513" s="7"/>
    </row>
    <row r="514">
      <c r="J514" s="7"/>
    </row>
    <row r="515">
      <c r="J515" s="7"/>
    </row>
    <row r="516">
      <c r="J516" s="7"/>
    </row>
    <row r="517">
      <c r="J517" s="7"/>
    </row>
    <row r="518">
      <c r="J518" s="7"/>
    </row>
    <row r="519">
      <c r="J519" s="7"/>
    </row>
    <row r="520">
      <c r="J520" s="7"/>
    </row>
    <row r="521">
      <c r="J521" s="7"/>
    </row>
    <row r="522">
      <c r="J522" s="7"/>
    </row>
    <row r="523">
      <c r="J523" s="7"/>
    </row>
    <row r="524">
      <c r="J524" s="7"/>
    </row>
    <row r="525">
      <c r="J525" s="7"/>
    </row>
    <row r="526">
      <c r="J526" s="7"/>
    </row>
    <row r="527">
      <c r="J527" s="7"/>
    </row>
    <row r="528">
      <c r="J528" s="7"/>
    </row>
    <row r="529">
      <c r="J529" s="7"/>
    </row>
    <row r="530">
      <c r="J530" s="7"/>
    </row>
    <row r="531">
      <c r="J531" s="7"/>
    </row>
    <row r="532">
      <c r="J532" s="7"/>
    </row>
    <row r="533">
      <c r="J533" s="7"/>
    </row>
    <row r="534">
      <c r="J534" s="7"/>
    </row>
    <row r="535">
      <c r="J535" s="7"/>
    </row>
    <row r="536">
      <c r="J536" s="7"/>
    </row>
    <row r="537">
      <c r="J537" s="7"/>
    </row>
    <row r="538">
      <c r="J538" s="7"/>
    </row>
    <row r="539">
      <c r="J539" s="7"/>
    </row>
    <row r="540">
      <c r="J540" s="7"/>
    </row>
    <row r="541">
      <c r="J541" s="7"/>
    </row>
    <row r="542">
      <c r="J542" s="7"/>
    </row>
    <row r="543">
      <c r="J543" s="7"/>
    </row>
    <row r="544">
      <c r="J544" s="7"/>
    </row>
    <row r="545">
      <c r="J545" s="7"/>
    </row>
    <row r="546">
      <c r="J546" s="7"/>
    </row>
    <row r="547">
      <c r="J547" s="7"/>
    </row>
    <row r="548">
      <c r="J548" s="7"/>
    </row>
    <row r="549">
      <c r="J549" s="7"/>
    </row>
    <row r="550">
      <c r="J550" s="7"/>
    </row>
    <row r="551">
      <c r="J551" s="7"/>
    </row>
    <row r="552">
      <c r="J552" s="7"/>
    </row>
    <row r="553">
      <c r="J553" s="7"/>
    </row>
    <row r="554">
      <c r="J554" s="7"/>
    </row>
    <row r="555">
      <c r="J555" s="7"/>
    </row>
    <row r="556">
      <c r="J556" s="7"/>
    </row>
    <row r="557">
      <c r="J557" s="7"/>
    </row>
    <row r="558">
      <c r="J558" s="7"/>
    </row>
    <row r="559">
      <c r="J559" s="7"/>
    </row>
    <row r="560">
      <c r="J560" s="7"/>
    </row>
    <row r="561">
      <c r="J561" s="7"/>
    </row>
    <row r="562">
      <c r="J562" s="7"/>
    </row>
    <row r="563">
      <c r="J563" s="7"/>
    </row>
    <row r="564">
      <c r="J564" s="7"/>
    </row>
    <row r="565">
      <c r="J565" s="7"/>
    </row>
    <row r="566">
      <c r="J566" s="7"/>
    </row>
    <row r="567">
      <c r="J567" s="7"/>
    </row>
    <row r="568">
      <c r="J568" s="7"/>
    </row>
    <row r="569">
      <c r="J569" s="7"/>
    </row>
    <row r="570">
      <c r="J570" s="7"/>
    </row>
    <row r="571">
      <c r="J571" s="7"/>
    </row>
    <row r="572">
      <c r="J572" s="7"/>
    </row>
    <row r="573">
      <c r="J573" s="7"/>
    </row>
    <row r="574">
      <c r="J574" s="7"/>
    </row>
    <row r="575">
      <c r="J575" s="7"/>
    </row>
    <row r="576">
      <c r="J576" s="7"/>
    </row>
    <row r="577">
      <c r="J577" s="7"/>
    </row>
    <row r="578">
      <c r="J578" s="7"/>
    </row>
    <row r="579">
      <c r="J579" s="7"/>
    </row>
    <row r="580">
      <c r="J580" s="7"/>
    </row>
    <row r="581">
      <c r="J581" s="7"/>
    </row>
    <row r="582">
      <c r="J582" s="7"/>
    </row>
    <row r="583">
      <c r="J583" s="7"/>
    </row>
    <row r="584">
      <c r="J584" s="7"/>
    </row>
    <row r="585">
      <c r="J585" s="7"/>
    </row>
    <row r="586">
      <c r="J586" s="7"/>
    </row>
    <row r="587">
      <c r="J587" s="7"/>
    </row>
    <row r="588">
      <c r="J588" s="7"/>
    </row>
    <row r="589">
      <c r="J589" s="7"/>
    </row>
    <row r="590">
      <c r="J590" s="7"/>
    </row>
    <row r="591">
      <c r="J591" s="7"/>
    </row>
    <row r="592">
      <c r="J592" s="7"/>
    </row>
    <row r="593">
      <c r="J593" s="7"/>
    </row>
    <row r="594">
      <c r="J594" s="7"/>
    </row>
    <row r="595">
      <c r="J595" s="7"/>
    </row>
    <row r="596">
      <c r="J596" s="7"/>
    </row>
    <row r="597">
      <c r="J597" s="7"/>
    </row>
    <row r="598">
      <c r="J598" s="7"/>
    </row>
    <row r="599">
      <c r="J599" s="7"/>
    </row>
    <row r="600">
      <c r="J600" s="7"/>
    </row>
    <row r="601">
      <c r="J601" s="7"/>
    </row>
    <row r="602">
      <c r="J602" s="7"/>
    </row>
    <row r="603">
      <c r="J603" s="7"/>
    </row>
    <row r="604">
      <c r="J604" s="7"/>
    </row>
    <row r="605">
      <c r="J605" s="7"/>
    </row>
    <row r="606">
      <c r="J606" s="7"/>
    </row>
    <row r="607">
      <c r="J607" s="7"/>
    </row>
    <row r="608">
      <c r="J608" s="7"/>
    </row>
    <row r="609">
      <c r="J609" s="7"/>
    </row>
    <row r="610">
      <c r="J610" s="7"/>
    </row>
    <row r="611">
      <c r="J611" s="7"/>
    </row>
    <row r="612">
      <c r="J612" s="7"/>
    </row>
    <row r="613">
      <c r="J613" s="7"/>
    </row>
    <row r="614">
      <c r="J614" s="7"/>
    </row>
    <row r="615">
      <c r="J615" s="7"/>
    </row>
    <row r="616">
      <c r="J616" s="7"/>
    </row>
    <row r="617">
      <c r="J617" s="7"/>
    </row>
    <row r="618">
      <c r="J618" s="7"/>
    </row>
    <row r="619">
      <c r="J619" s="7"/>
    </row>
    <row r="620">
      <c r="J620" s="7"/>
    </row>
    <row r="621">
      <c r="J621" s="7"/>
    </row>
    <row r="622">
      <c r="J622" s="7"/>
    </row>
    <row r="623">
      <c r="J623" s="7"/>
    </row>
    <row r="624">
      <c r="J624" s="7"/>
    </row>
    <row r="625">
      <c r="J625" s="7"/>
    </row>
    <row r="626">
      <c r="J626" s="7"/>
    </row>
    <row r="627">
      <c r="J627" s="7"/>
    </row>
    <row r="628">
      <c r="J628" s="7"/>
    </row>
    <row r="629">
      <c r="J629" s="7"/>
    </row>
    <row r="630">
      <c r="J630" s="7"/>
    </row>
    <row r="631">
      <c r="J631" s="7"/>
    </row>
    <row r="632">
      <c r="J632" s="7"/>
    </row>
    <row r="633">
      <c r="J633" s="7"/>
    </row>
    <row r="634">
      <c r="J634" s="7"/>
    </row>
    <row r="635">
      <c r="J635" s="7"/>
    </row>
    <row r="636">
      <c r="J636" s="7"/>
    </row>
    <row r="637">
      <c r="J637" s="7"/>
    </row>
    <row r="638">
      <c r="J638" s="7"/>
    </row>
    <row r="639">
      <c r="J639" s="7"/>
    </row>
    <row r="640">
      <c r="J640" s="7"/>
    </row>
    <row r="641">
      <c r="J641" s="7"/>
    </row>
    <row r="642">
      <c r="J642" s="7"/>
    </row>
    <row r="643">
      <c r="J643" s="7"/>
    </row>
    <row r="644">
      <c r="J644" s="7"/>
    </row>
    <row r="645">
      <c r="J645" s="7"/>
    </row>
    <row r="646">
      <c r="J646" s="7"/>
    </row>
    <row r="647">
      <c r="J647" s="7"/>
    </row>
    <row r="648">
      <c r="J648" s="7"/>
    </row>
    <row r="649">
      <c r="J649" s="7"/>
    </row>
    <row r="650">
      <c r="J650" s="7"/>
    </row>
    <row r="651">
      <c r="J651" s="7"/>
    </row>
    <row r="652">
      <c r="J652" s="7"/>
    </row>
    <row r="653">
      <c r="J653" s="7"/>
    </row>
    <row r="654">
      <c r="J654" s="7"/>
    </row>
    <row r="655">
      <c r="J655" s="7"/>
    </row>
    <row r="656">
      <c r="J656" s="7"/>
    </row>
    <row r="657">
      <c r="J657" s="7"/>
    </row>
    <row r="658">
      <c r="J658" s="7"/>
    </row>
    <row r="659">
      <c r="J659" s="7"/>
    </row>
    <row r="660">
      <c r="J660" s="7"/>
    </row>
    <row r="661">
      <c r="J661" s="7"/>
    </row>
    <row r="662">
      <c r="J662" s="7"/>
    </row>
    <row r="663">
      <c r="J663" s="7"/>
    </row>
    <row r="664">
      <c r="J664" s="7"/>
    </row>
    <row r="665">
      <c r="J665" s="7"/>
    </row>
    <row r="666">
      <c r="J666" s="7"/>
    </row>
    <row r="667">
      <c r="J667" s="7"/>
    </row>
    <row r="668">
      <c r="J668" s="7"/>
    </row>
    <row r="669">
      <c r="J669" s="7"/>
    </row>
    <row r="670">
      <c r="J670" s="7"/>
    </row>
    <row r="671">
      <c r="J671" s="7"/>
    </row>
    <row r="672">
      <c r="J672" s="7"/>
    </row>
    <row r="673">
      <c r="J673" s="7"/>
    </row>
    <row r="674">
      <c r="J674" s="7"/>
    </row>
    <row r="675">
      <c r="J675" s="7"/>
    </row>
    <row r="676">
      <c r="J676" s="7"/>
    </row>
    <row r="677">
      <c r="J677" s="7"/>
    </row>
    <row r="678">
      <c r="J678" s="7"/>
    </row>
    <row r="679">
      <c r="J679" s="7"/>
    </row>
    <row r="680">
      <c r="J680" s="7"/>
    </row>
    <row r="681">
      <c r="J681" s="7"/>
    </row>
    <row r="682">
      <c r="J682" s="7"/>
    </row>
    <row r="683">
      <c r="J683" s="7"/>
    </row>
    <row r="684">
      <c r="J684" s="7"/>
    </row>
    <row r="685">
      <c r="J685" s="7"/>
    </row>
    <row r="686">
      <c r="J686" s="7"/>
    </row>
    <row r="687">
      <c r="J687" s="7"/>
    </row>
    <row r="688">
      <c r="J688" s="7"/>
    </row>
    <row r="689">
      <c r="J689" s="7"/>
    </row>
    <row r="690">
      <c r="J690" s="7"/>
    </row>
    <row r="691">
      <c r="J691" s="7"/>
    </row>
    <row r="692">
      <c r="J692" s="7"/>
    </row>
    <row r="693">
      <c r="J693" s="7"/>
    </row>
    <row r="694">
      <c r="J694" s="7"/>
    </row>
    <row r="695">
      <c r="J695" s="7"/>
    </row>
    <row r="696">
      <c r="J696" s="7"/>
    </row>
    <row r="697">
      <c r="J697" s="7"/>
    </row>
    <row r="698">
      <c r="J698" s="7"/>
    </row>
    <row r="699">
      <c r="J699" s="7"/>
    </row>
    <row r="700">
      <c r="J700" s="7"/>
    </row>
    <row r="701">
      <c r="J701" s="7"/>
    </row>
    <row r="702">
      <c r="J702" s="7"/>
    </row>
    <row r="703">
      <c r="J703" s="7"/>
    </row>
    <row r="704">
      <c r="J704" s="7"/>
    </row>
    <row r="705">
      <c r="J705" s="7"/>
    </row>
    <row r="706">
      <c r="J706" s="7"/>
    </row>
    <row r="707">
      <c r="J707" s="7"/>
    </row>
    <row r="708">
      <c r="J708" s="7"/>
    </row>
    <row r="709">
      <c r="J709" s="7"/>
    </row>
    <row r="710">
      <c r="J710" s="7"/>
    </row>
    <row r="711">
      <c r="J711" s="7"/>
    </row>
    <row r="712">
      <c r="J712" s="7"/>
    </row>
    <row r="713">
      <c r="J713" s="7"/>
    </row>
    <row r="714">
      <c r="J714" s="7"/>
    </row>
    <row r="715">
      <c r="J715" s="7"/>
    </row>
    <row r="716">
      <c r="J716" s="7"/>
    </row>
    <row r="717">
      <c r="J717" s="7"/>
    </row>
    <row r="718">
      <c r="J718" s="7"/>
    </row>
    <row r="719">
      <c r="J719" s="7"/>
    </row>
    <row r="720">
      <c r="J720" s="7"/>
    </row>
    <row r="721">
      <c r="J721" s="7"/>
    </row>
    <row r="722">
      <c r="J722" s="7"/>
    </row>
    <row r="723">
      <c r="J723" s="7"/>
    </row>
    <row r="724">
      <c r="J724" s="7"/>
    </row>
    <row r="725">
      <c r="J725" s="7"/>
    </row>
    <row r="726">
      <c r="J726" s="7"/>
    </row>
    <row r="727">
      <c r="J727" s="7"/>
    </row>
    <row r="728">
      <c r="J728" s="7"/>
    </row>
    <row r="729">
      <c r="J729" s="7"/>
    </row>
    <row r="730">
      <c r="J730" s="7"/>
    </row>
    <row r="731">
      <c r="J731" s="7"/>
    </row>
    <row r="732">
      <c r="J732" s="7"/>
    </row>
    <row r="733">
      <c r="J733" s="7"/>
    </row>
    <row r="734">
      <c r="J734" s="7"/>
    </row>
    <row r="735">
      <c r="J735" s="7"/>
    </row>
    <row r="736">
      <c r="J736" s="7"/>
    </row>
    <row r="737">
      <c r="J737" s="7"/>
    </row>
    <row r="738">
      <c r="J738" s="7"/>
    </row>
    <row r="739">
      <c r="J739" s="7"/>
    </row>
    <row r="740">
      <c r="J740" s="7"/>
    </row>
    <row r="741">
      <c r="J741" s="7"/>
    </row>
    <row r="742">
      <c r="J742" s="7"/>
    </row>
    <row r="743">
      <c r="J743" s="7"/>
    </row>
    <row r="744">
      <c r="J744" s="7"/>
    </row>
    <row r="745">
      <c r="J745" s="7"/>
    </row>
    <row r="746">
      <c r="J746" s="7"/>
    </row>
    <row r="747">
      <c r="J747" s="7"/>
    </row>
    <row r="748">
      <c r="J748" s="7"/>
    </row>
    <row r="749">
      <c r="J749" s="7"/>
    </row>
    <row r="750">
      <c r="J750" s="7"/>
    </row>
    <row r="751">
      <c r="J751" s="7"/>
    </row>
    <row r="752">
      <c r="J752" s="7"/>
    </row>
    <row r="753">
      <c r="J753" s="7"/>
    </row>
    <row r="754">
      <c r="J754" s="7"/>
    </row>
    <row r="755">
      <c r="J755" s="7"/>
    </row>
    <row r="756">
      <c r="J756" s="7"/>
    </row>
    <row r="757">
      <c r="J757" s="7"/>
    </row>
    <row r="758">
      <c r="J758" s="7"/>
    </row>
    <row r="759">
      <c r="J759" s="7"/>
    </row>
    <row r="760">
      <c r="J760" s="7"/>
    </row>
    <row r="761">
      <c r="J761" s="7"/>
    </row>
    <row r="762">
      <c r="J762" s="7"/>
    </row>
    <row r="763">
      <c r="J763" s="7"/>
    </row>
    <row r="764">
      <c r="J764" s="7"/>
    </row>
    <row r="765">
      <c r="J765" s="7"/>
    </row>
    <row r="766">
      <c r="J766" s="7"/>
    </row>
    <row r="767">
      <c r="J767" s="7"/>
    </row>
    <row r="768">
      <c r="J768" s="7"/>
    </row>
    <row r="769">
      <c r="J769" s="7"/>
    </row>
    <row r="770">
      <c r="J770" s="7"/>
    </row>
    <row r="771">
      <c r="J771" s="7"/>
    </row>
    <row r="772">
      <c r="J772" s="7"/>
    </row>
    <row r="773">
      <c r="J773" s="7"/>
    </row>
    <row r="774">
      <c r="J774" s="7"/>
    </row>
    <row r="775">
      <c r="J775" s="7"/>
    </row>
    <row r="776">
      <c r="J776" s="7"/>
    </row>
    <row r="777">
      <c r="J777" s="7"/>
    </row>
    <row r="778">
      <c r="J778" s="7"/>
    </row>
    <row r="779">
      <c r="J779" s="7"/>
    </row>
    <row r="780">
      <c r="J780" s="7"/>
    </row>
    <row r="781">
      <c r="J781" s="7"/>
    </row>
    <row r="782">
      <c r="J782" s="7"/>
    </row>
    <row r="783">
      <c r="J783" s="7"/>
    </row>
    <row r="784">
      <c r="J784" s="7"/>
    </row>
    <row r="785">
      <c r="J785" s="7"/>
    </row>
    <row r="786">
      <c r="J786" s="7"/>
    </row>
    <row r="787">
      <c r="J787" s="7"/>
    </row>
    <row r="788">
      <c r="J788" s="7"/>
    </row>
    <row r="789">
      <c r="J789" s="7"/>
    </row>
    <row r="790">
      <c r="J790" s="7"/>
    </row>
    <row r="791">
      <c r="J791" s="7"/>
    </row>
    <row r="792">
      <c r="J792" s="7"/>
    </row>
    <row r="793">
      <c r="J793" s="7"/>
    </row>
    <row r="794">
      <c r="J794" s="7"/>
    </row>
    <row r="795">
      <c r="J795" s="7"/>
    </row>
    <row r="796">
      <c r="J796" s="7"/>
    </row>
    <row r="797">
      <c r="J797" s="7"/>
    </row>
    <row r="798">
      <c r="J798" s="7"/>
    </row>
    <row r="799">
      <c r="J799" s="7"/>
    </row>
    <row r="800">
      <c r="J800" s="7"/>
    </row>
    <row r="801">
      <c r="J801" s="7"/>
    </row>
    <row r="802">
      <c r="J802" s="7"/>
    </row>
    <row r="803">
      <c r="J803" s="7"/>
    </row>
    <row r="804">
      <c r="J804" s="7"/>
    </row>
    <row r="805">
      <c r="J805" s="7"/>
    </row>
    <row r="806">
      <c r="J806" s="7"/>
    </row>
    <row r="807">
      <c r="J807" s="7"/>
    </row>
    <row r="808">
      <c r="J808" s="7"/>
    </row>
    <row r="809">
      <c r="J809" s="7"/>
    </row>
    <row r="810">
      <c r="J810" s="7"/>
    </row>
    <row r="811">
      <c r="J811" s="7"/>
    </row>
    <row r="812">
      <c r="J812" s="7"/>
    </row>
    <row r="813">
      <c r="J813" s="7"/>
    </row>
    <row r="814">
      <c r="J814" s="7"/>
    </row>
    <row r="815">
      <c r="J815" s="7"/>
    </row>
    <row r="816">
      <c r="J816" s="7"/>
    </row>
    <row r="817">
      <c r="J817" s="7"/>
    </row>
    <row r="818">
      <c r="J818" s="7"/>
    </row>
    <row r="819">
      <c r="J819" s="7"/>
    </row>
    <row r="820">
      <c r="J820" s="7"/>
    </row>
    <row r="821">
      <c r="J821" s="7"/>
    </row>
    <row r="822">
      <c r="J822" s="7"/>
    </row>
    <row r="823">
      <c r="J823" s="7"/>
    </row>
    <row r="824">
      <c r="J824" s="7"/>
    </row>
    <row r="825">
      <c r="J825" s="7"/>
    </row>
    <row r="826">
      <c r="J826" s="7"/>
    </row>
    <row r="827">
      <c r="J827" s="7"/>
    </row>
    <row r="828">
      <c r="J828" s="7"/>
    </row>
    <row r="829">
      <c r="J829" s="7"/>
    </row>
    <row r="830">
      <c r="J830" s="7"/>
    </row>
    <row r="831">
      <c r="J831" s="7"/>
    </row>
    <row r="832">
      <c r="J832" s="7"/>
    </row>
    <row r="833">
      <c r="J833" s="7"/>
    </row>
    <row r="834">
      <c r="J834" s="7"/>
    </row>
    <row r="835">
      <c r="J835" s="7"/>
    </row>
    <row r="836">
      <c r="J836" s="7"/>
    </row>
    <row r="837">
      <c r="J837" s="7"/>
    </row>
    <row r="838">
      <c r="J838" s="7"/>
    </row>
    <row r="839">
      <c r="J839" s="7"/>
    </row>
    <row r="840">
      <c r="J840" s="7"/>
    </row>
    <row r="841">
      <c r="J841" s="7"/>
    </row>
    <row r="842">
      <c r="J842" s="7"/>
    </row>
    <row r="843">
      <c r="J843" s="7"/>
    </row>
    <row r="844">
      <c r="J844" s="7"/>
    </row>
    <row r="845">
      <c r="J845" s="7"/>
    </row>
    <row r="846">
      <c r="J846" s="7"/>
    </row>
    <row r="847">
      <c r="J847" s="7"/>
    </row>
    <row r="848">
      <c r="J848" s="7"/>
    </row>
    <row r="849">
      <c r="J849" s="7"/>
    </row>
    <row r="850">
      <c r="J850" s="7"/>
    </row>
    <row r="851">
      <c r="J851" s="7"/>
    </row>
    <row r="852">
      <c r="J852" s="7"/>
    </row>
    <row r="853">
      <c r="J853" s="7"/>
    </row>
    <row r="854">
      <c r="J854" s="7"/>
    </row>
    <row r="855">
      <c r="J855" s="7"/>
    </row>
    <row r="856">
      <c r="J856" s="7"/>
    </row>
    <row r="857">
      <c r="J857" s="7"/>
    </row>
    <row r="858">
      <c r="J858" s="7"/>
    </row>
    <row r="859">
      <c r="J859" s="7"/>
    </row>
    <row r="860">
      <c r="J860" s="7"/>
    </row>
    <row r="861">
      <c r="J861" s="7"/>
    </row>
    <row r="862">
      <c r="J862" s="7"/>
    </row>
    <row r="863">
      <c r="J863" s="7"/>
    </row>
    <row r="864">
      <c r="J864" s="7"/>
    </row>
    <row r="865">
      <c r="J865" s="7"/>
    </row>
    <row r="866">
      <c r="J866" s="7"/>
    </row>
    <row r="867">
      <c r="J867" s="7"/>
    </row>
    <row r="868">
      <c r="J868" s="7"/>
    </row>
    <row r="869">
      <c r="J869" s="7"/>
    </row>
    <row r="870">
      <c r="J870" s="7"/>
    </row>
    <row r="871">
      <c r="J871" s="7"/>
    </row>
    <row r="872">
      <c r="J872" s="7"/>
    </row>
    <row r="873">
      <c r="J873" s="7"/>
    </row>
    <row r="874">
      <c r="J874" s="7"/>
    </row>
    <row r="875">
      <c r="J875" s="7"/>
    </row>
    <row r="876">
      <c r="J876" s="7"/>
    </row>
    <row r="877">
      <c r="J877" s="7"/>
    </row>
    <row r="878">
      <c r="J878" s="7"/>
    </row>
    <row r="879">
      <c r="J879" s="7"/>
    </row>
    <row r="880">
      <c r="J880" s="7"/>
    </row>
    <row r="881">
      <c r="J881" s="7"/>
    </row>
    <row r="882">
      <c r="J882" s="7"/>
    </row>
    <row r="883">
      <c r="J883" s="7"/>
    </row>
    <row r="884">
      <c r="J884" s="7"/>
    </row>
    <row r="885">
      <c r="J885" s="7"/>
    </row>
    <row r="886">
      <c r="J886" s="7"/>
    </row>
    <row r="887">
      <c r="J887" s="7"/>
    </row>
    <row r="888">
      <c r="J888" s="7"/>
    </row>
    <row r="889">
      <c r="J889" s="7"/>
    </row>
    <row r="890">
      <c r="J890" s="7"/>
    </row>
    <row r="891">
      <c r="J891" s="7"/>
    </row>
    <row r="892">
      <c r="J892" s="7"/>
    </row>
    <row r="893">
      <c r="J893" s="7"/>
    </row>
    <row r="894">
      <c r="J894" s="7"/>
    </row>
    <row r="895">
      <c r="J895" s="7"/>
    </row>
    <row r="896">
      <c r="J896" s="7"/>
    </row>
    <row r="897">
      <c r="J897" s="7"/>
    </row>
    <row r="898">
      <c r="J898" s="7"/>
    </row>
    <row r="899">
      <c r="J899" s="7"/>
    </row>
    <row r="900">
      <c r="J900" s="7"/>
    </row>
    <row r="901">
      <c r="J901" s="7"/>
    </row>
    <row r="902">
      <c r="J902" s="7"/>
    </row>
    <row r="903">
      <c r="J903" s="7"/>
    </row>
    <row r="904">
      <c r="J904" s="7"/>
    </row>
    <row r="905">
      <c r="J905" s="7"/>
    </row>
    <row r="906">
      <c r="J906" s="7"/>
    </row>
    <row r="907">
      <c r="J907" s="7"/>
    </row>
    <row r="908">
      <c r="J908" s="7"/>
    </row>
    <row r="909">
      <c r="J909" s="7"/>
    </row>
    <row r="910">
      <c r="J910" s="7"/>
    </row>
    <row r="911">
      <c r="J911" s="7"/>
    </row>
    <row r="912">
      <c r="J912" s="7"/>
    </row>
    <row r="913">
      <c r="J913" s="7"/>
    </row>
    <row r="914">
      <c r="J914" s="7"/>
    </row>
    <row r="915">
      <c r="J915" s="7"/>
    </row>
    <row r="916">
      <c r="J916" s="7"/>
    </row>
    <row r="917">
      <c r="J917" s="7"/>
    </row>
    <row r="918">
      <c r="J918" s="7"/>
    </row>
    <row r="919">
      <c r="J919" s="7"/>
    </row>
    <row r="920">
      <c r="J920" s="7"/>
    </row>
    <row r="921">
      <c r="J921" s="7"/>
    </row>
    <row r="922">
      <c r="J922" s="7"/>
    </row>
    <row r="923">
      <c r="J923" s="7"/>
    </row>
    <row r="924">
      <c r="J924" s="7"/>
    </row>
    <row r="925">
      <c r="J925" s="7"/>
    </row>
    <row r="926">
      <c r="J926" s="7"/>
    </row>
    <row r="927">
      <c r="J927" s="7"/>
    </row>
    <row r="928">
      <c r="J928" s="7"/>
    </row>
    <row r="929">
      <c r="J929" s="7"/>
    </row>
    <row r="930">
      <c r="J930" s="7"/>
    </row>
    <row r="931">
      <c r="J931" s="7"/>
    </row>
    <row r="932">
      <c r="J932" s="7"/>
    </row>
    <row r="933">
      <c r="J933" s="7"/>
    </row>
    <row r="934">
      <c r="J934" s="7"/>
    </row>
    <row r="935">
      <c r="J935" s="7"/>
    </row>
    <row r="936">
      <c r="J936" s="7"/>
    </row>
    <row r="937">
      <c r="J937" s="7"/>
    </row>
    <row r="938">
      <c r="J938" s="7"/>
    </row>
    <row r="939">
      <c r="J939" s="7"/>
    </row>
    <row r="940">
      <c r="J940" s="7"/>
    </row>
    <row r="941">
      <c r="J941" s="7"/>
    </row>
    <row r="942">
      <c r="J942" s="7"/>
    </row>
    <row r="943">
      <c r="J943" s="7"/>
    </row>
    <row r="944">
      <c r="J944" s="7"/>
    </row>
    <row r="945">
      <c r="J945" s="7"/>
    </row>
    <row r="946">
      <c r="J946" s="7"/>
    </row>
    <row r="947">
      <c r="J947" s="7"/>
    </row>
    <row r="948">
      <c r="J948" s="7"/>
    </row>
    <row r="949">
      <c r="J949" s="7"/>
    </row>
    <row r="950">
      <c r="J950" s="7"/>
    </row>
    <row r="951">
      <c r="J951" s="7"/>
    </row>
    <row r="952">
      <c r="J952" s="7"/>
    </row>
    <row r="953">
      <c r="J953" s="7"/>
    </row>
    <row r="954">
      <c r="J954" s="7"/>
    </row>
    <row r="955">
      <c r="J955" s="7"/>
    </row>
    <row r="956">
      <c r="J956" s="7"/>
    </row>
    <row r="957">
      <c r="J957" s="7"/>
    </row>
    <row r="958">
      <c r="J958" s="7"/>
    </row>
    <row r="959">
      <c r="J959" s="7"/>
    </row>
    <row r="960">
      <c r="J960" s="7"/>
    </row>
    <row r="961">
      <c r="J961" s="7"/>
    </row>
    <row r="962">
      <c r="J962" s="7"/>
    </row>
    <row r="963">
      <c r="J963" s="7"/>
    </row>
    <row r="964">
      <c r="J964" s="7"/>
    </row>
    <row r="965">
      <c r="J965" s="7"/>
    </row>
    <row r="966">
      <c r="J966" s="7"/>
    </row>
    <row r="967">
      <c r="J967" s="7"/>
    </row>
    <row r="968">
      <c r="J968" s="7"/>
    </row>
    <row r="969">
      <c r="J969" s="7"/>
    </row>
    <row r="970">
      <c r="J970" s="7"/>
    </row>
    <row r="971">
      <c r="J971" s="7"/>
    </row>
    <row r="972">
      <c r="J972" s="7"/>
    </row>
    <row r="973">
      <c r="J973" s="7"/>
    </row>
    <row r="974">
      <c r="J974" s="7"/>
    </row>
    <row r="975">
      <c r="J975" s="7"/>
    </row>
    <row r="976">
      <c r="J976" s="7"/>
    </row>
    <row r="977">
      <c r="J977" s="7"/>
    </row>
    <row r="978">
      <c r="J978" s="7"/>
    </row>
    <row r="979">
      <c r="J979" s="7"/>
    </row>
    <row r="980">
      <c r="J980" s="7"/>
    </row>
    <row r="981">
      <c r="J981" s="7"/>
    </row>
    <row r="982">
      <c r="J982" s="7"/>
    </row>
    <row r="983">
      <c r="J983" s="7"/>
    </row>
    <row r="984">
      <c r="J984" s="7"/>
    </row>
    <row r="985">
      <c r="J985" s="7"/>
    </row>
    <row r="986">
      <c r="J986" s="7"/>
    </row>
    <row r="987">
      <c r="J987" s="7"/>
    </row>
    <row r="988">
      <c r="J988" s="7"/>
    </row>
    <row r="989">
      <c r="J989" s="7"/>
    </row>
    <row r="990">
      <c r="J990" s="7"/>
    </row>
    <row r="991">
      <c r="J991" s="7"/>
    </row>
    <row r="992">
      <c r="J992" s="7"/>
    </row>
    <row r="993">
      <c r="J993" s="7"/>
    </row>
    <row r="994">
      <c r="J994" s="7"/>
    </row>
    <row r="995">
      <c r="J995" s="7"/>
    </row>
    <row r="996">
      <c r="J996" s="7"/>
    </row>
    <row r="997">
      <c r="J997" s="7"/>
    </row>
    <row r="998">
      <c r="J998" s="7"/>
    </row>
    <row r="999">
      <c r="J999" s="7"/>
    </row>
    <row r="1000">
      <c r="J1000" s="7"/>
    </row>
  </sheetData>
  <hyperlinks>
    <hyperlink r:id="rId1" ref="I2"/>
    <hyperlink r:id="rId2" ref="I3"/>
    <hyperlink r:id="rId3" ref="I4"/>
    <hyperlink r:id="rId4" ref="I5"/>
    <hyperlink r:id="rId5" ref="I6"/>
    <hyperlink r:id="rId6" ref="I7"/>
    <hyperlink r:id="rId7" ref="I8"/>
    <hyperlink r:id="rId8" ref="I9"/>
    <hyperlink r:id="rId9" ref="I10"/>
  </hyperlinks>
  <drawing r:id="rId10"/>
</worksheet>
</file>