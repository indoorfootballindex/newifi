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am Info" sheetId="1" state="visible" r:id="rId1"/>
    <sheet name="Player Stats" sheetId="2" state="visible" r:id="rId2"/>
    <sheet name="Game History" sheetId="3" state="visible" r:id="rId3"/>
    <sheet name="Roster" sheetId="4" state="visible" r:id="rId4"/>
    <sheet name="Franchise Record Holders" sheetId="5" state="visible" r:id="rId5"/>
  </sheets>
  <definedNames/>
  <calcPr calcId="124519" fullCalcOnLoad="1"/>
</workbook>
</file>

<file path=xl/styles.xml><?xml version="1.0" encoding="utf-8"?>
<styleSheet xmlns="http://schemas.openxmlformats.org/spreadsheetml/2006/main">
  <numFmts count="4">
    <numFmt numFmtId="164" formatCode="mm&quot;/&quot;dd&quot;/&quot;yy"/>
    <numFmt numFmtId="165" formatCode="m/d/yyyy"/>
    <numFmt numFmtId="166" formatCode="m-d"/>
    <numFmt numFmtId="167" formatCode="mm/dd/yy"/>
  </numFmts>
  <fonts count="7">
    <font>
      <name val="Arial"/>
      <color rgb="FF000000"/>
      <sz val="10"/>
      <scheme val="minor"/>
    </font>
    <font>
      <name val="Arial"/>
      <color theme="1"/>
    </font>
    <font>
      <name val="Arial"/>
      <color theme="1"/>
      <scheme val="minor"/>
    </font>
    <font>
      <name val="Arial"/>
      <color rgb="FF000000"/>
    </font>
    <font>
      <color rgb="FF0000FF"/>
      <u val="single"/>
    </font>
    <font>
      <color rgb="FF0000FF"/>
      <u val="single"/>
    </font>
    <font>
      <name val="Arial"/>
      <color rgb="FF000000"/>
      <scheme val="minor"/>
    </font>
  </fonts>
  <fills count="2">
    <fill>
      <patternFill/>
    </fill>
    <fill>
      <patternFill patternType="lightGray"/>
    </fill>
  </fills>
  <borders count="1">
    <border/>
  </borders>
  <cellStyleXfs count="1">
    <xf numFmtId="0" fontId="0" fillId="0" borderId="0"/>
  </cellStyleXfs>
  <cellXfs count="23">
    <xf numFmtId="0" fontId="0" fillId="0" borderId="0" applyAlignment="1" pivotButton="0" quotePrefix="0" xfId="0">
      <alignment vertical="bottom"/>
    </xf>
    <xf numFmtId="164" fontId="1" fillId="0" borderId="0" applyAlignment="1" pivotButton="0" quotePrefix="0" xfId="0">
      <alignment horizontal="center" vertical="bottom"/>
    </xf>
    <xf numFmtId="0" fontId="2" fillId="0" borderId="0" applyAlignment="1" pivotButton="0" quotePrefix="0" xfId="0">
      <alignment horizontal="center"/>
    </xf>
    <xf numFmtId="0" fontId="1" fillId="0" borderId="0" applyAlignment="1" pivotButton="0" quotePrefix="0" xfId="0">
      <alignment horizontal="center" vertical="bottom"/>
    </xf>
    <xf numFmtId="0" fontId="1" fillId="0" borderId="0" applyAlignment="1" pivotButton="0" quotePrefix="0" xfId="0">
      <alignment horizontal="center" vertical="bottom"/>
    </xf>
    <xf numFmtId="0" fontId="1" fillId="0" borderId="0" applyAlignment="1" pivotButton="0" quotePrefix="0" xfId="0">
      <alignment horizontal="center" vertical="bottom"/>
    </xf>
    <xf numFmtId="0" fontId="3" fillId="0" borderId="0" applyAlignment="1" pivotButton="0" quotePrefix="0" xfId="0">
      <alignment horizontal="center" vertical="bottom"/>
    </xf>
    <xf numFmtId="0" fontId="1" fillId="0" borderId="0" applyAlignment="1" pivotButton="0" quotePrefix="0" xfId="0">
      <alignment horizontal="center" vertical="bottom"/>
    </xf>
    <xf numFmtId="0" fontId="1" fillId="0" borderId="0" applyAlignment="1" pivotButton="0" quotePrefix="0" xfId="0">
      <alignment vertical="bottom"/>
    </xf>
    <xf numFmtId="0" fontId="2" fillId="0" borderId="0" applyAlignment="1" pivotButton="0" quotePrefix="0" xfId="0">
      <alignment horizontal="center"/>
    </xf>
    <xf numFmtId="165" fontId="2" fillId="0" borderId="0"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166" fontId="2" fillId="0" borderId="0" applyAlignment="1" pivotButton="0" quotePrefix="0" xfId="0">
      <alignment horizontal="center"/>
    </xf>
    <xf numFmtId="0" fontId="3" fillId="0" borderId="0" applyAlignment="1" pivotButton="0" quotePrefix="0" xfId="0">
      <alignment horizontal="center" vertical="bottom"/>
    </xf>
    <xf numFmtId="0" fontId="5"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vertical="bottom"/>
    </xf>
    <xf numFmtId="0" fontId="6" fillId="0" borderId="0" applyAlignment="1" pivotButton="0" quotePrefix="0" xfId="0">
      <alignment horizontal="center"/>
    </xf>
    <xf numFmtId="167" fontId="1" fillId="0" borderId="0" applyAlignment="1" pivotButton="0" quotePrefix="0" xfId="0">
      <alignment horizontal="center" vertical="bottom"/>
    </xf>
    <xf numFmtId="0" fontId="6" fillId="0" borderId="0" pivotButton="0" quotePrefix="0" xfId="0"/>
    <xf numFmtId="0" fontId="1" fillId="0" borderId="0" applyAlignment="1" pivotButton="0" quotePrefix="0" xfId="0">
      <alignment horizontal="center"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upload.wikimedia.org/wikipedia/en/thumb/6/60/Bay_Area_Panthers_Logo.svg/3840px-Bay_Area_Panthers_Logo.svg.png?utm_source=en.wikipedia.org&amp;utm_campaign=imageinfo&amp;utm_content=thumbnail" TargetMode="External" Id="rId1" /></Relationships>
</file>

<file path=xl/worksheets/_rels/sheet2.xml.rels><Relationships xmlns="http://schemas.openxmlformats.org/package/2006/relationships"><Relationship Type="http://schemas.openxmlformats.org/officeDocument/2006/relationships/hyperlink" Target="http://p.td" TargetMode="External" Id="rId1" /><Relationship Type="http://schemas.openxmlformats.org/officeDocument/2006/relationships/hyperlink" Target="http://p.int" TargetMode="External" Id="rId2" /><Relationship Type="http://schemas.openxmlformats.org/officeDocument/2006/relationships/hyperlink" Target="http://rush.td/" TargetMode="External" Id="rId3" /><Relationship Type="http://schemas.openxmlformats.org/officeDocument/2006/relationships/hyperlink" Target="http://rec.td" TargetMode="External" Id="rId4" /><Relationship Type="http://schemas.openxmlformats.org/officeDocument/2006/relationships/hyperlink" Target="http://kr.td" TargetMode="External" Id="rId5" /><Relationship Type="http://schemas.openxmlformats.org/officeDocument/2006/relationships/hyperlink" Target="http://def.int" TargetMode="External" Id="rId6" /></Relationships>
</file>

<file path=xl/worksheets/sheet1.xml><?xml version="1.0" encoding="utf-8"?>
<worksheet xmlns="http://schemas.openxmlformats.org/spreadsheetml/2006/main">
  <sheetPr>
    <outlinePr summaryBelow="0" summaryRight="0"/>
    <pageSetUpPr/>
  </sheetPr>
  <dimension ref="A1:AC1000"/>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22" min="1" max="1"/>
    <col width="19.75" customWidth="1" style="22" min="3" max="3"/>
    <col width="17.5" customWidth="1" style="22" min="5" max="5"/>
  </cols>
  <sheetData>
    <row r="1">
      <c r="A1" s="12" t="inlineStr">
        <is>
          <t>Team Name</t>
        </is>
      </c>
      <c r="B1" s="12" t="inlineStr">
        <is>
          <t>Years</t>
        </is>
      </c>
      <c r="C1" s="12" t="inlineStr">
        <is>
          <t>League History</t>
        </is>
      </c>
      <c r="D1" s="12" t="inlineStr">
        <is>
          <t>Stadium History</t>
        </is>
      </c>
      <c r="E1" s="12" t="inlineStr">
        <is>
          <t>Playoff appearances</t>
        </is>
      </c>
      <c r="F1" s="12" t="inlineStr">
        <is>
          <t>Reg. Record</t>
        </is>
      </c>
      <c r="G1" s="12" t="inlineStr">
        <is>
          <t>Post. Record</t>
        </is>
      </c>
      <c r="H1" s="12" t="inlineStr">
        <is>
          <t>Record</t>
        </is>
      </c>
      <c r="I1" s="12" t="inlineStr">
        <is>
          <t>Championships</t>
        </is>
      </c>
      <c r="J1" s="12" t="inlineStr">
        <is>
          <t>Coach History</t>
        </is>
      </c>
      <c r="K1" s="12" t="inlineStr">
        <is>
          <t>Current Logo</t>
        </is>
      </c>
      <c r="L1" s="12" t="inlineStr">
        <is>
          <t>Previous Logo</t>
        </is>
      </c>
      <c r="M1" s="12" t="inlineStr">
        <is>
          <t>Current Logo Info</t>
        </is>
      </c>
      <c r="N1" s="12" t="inlineStr">
        <is>
          <t>Prevoius Logo History</t>
        </is>
      </c>
      <c r="O1" s="12" t="inlineStr">
        <is>
          <t>Team History</t>
        </is>
      </c>
      <c r="P1" s="12" t="n"/>
      <c r="Q1" s="12" t="n"/>
      <c r="R1" s="12" t="n"/>
      <c r="S1" s="12" t="n"/>
      <c r="T1" s="12" t="n"/>
      <c r="U1" s="12" t="n"/>
      <c r="V1" s="12" t="n"/>
      <c r="W1" s="12" t="n"/>
      <c r="X1" s="12" t="n"/>
      <c r="Y1" s="12" t="n"/>
      <c r="Z1" s="12" t="n"/>
      <c r="AA1" s="12" t="n"/>
      <c r="AB1" s="12" t="n"/>
      <c r="AC1" s="12" t="n"/>
    </row>
    <row r="2">
      <c r="A2" s="12" t="inlineStr">
        <is>
          <t>Bay Area Panthers</t>
        </is>
      </c>
      <c r="B2" s="12" t="inlineStr">
        <is>
          <t>2019-2025</t>
        </is>
      </c>
      <c r="C2" s="12" t="inlineStr">
        <is>
          <t>IFL (2019-2025)</t>
        </is>
      </c>
      <c r="D2" s="12" t="inlineStr">
        <is>
          <t>Oakland Arena (2020, never played), SAP Center (2022-2025)</t>
        </is>
      </c>
      <c r="E2" s="12" t="inlineStr">
        <is>
          <t>2023, 2024, 2025</t>
        </is>
      </c>
      <c r="F2" s="12" t="inlineStr">
        <is>
          <t>37-26</t>
        </is>
      </c>
      <c r="G2" s="13" t="n">
        <v>46083</v>
      </c>
      <c r="H2" s="12" t="inlineStr">
        <is>
          <t>40-28</t>
        </is>
      </c>
      <c r="I2" s="12" t="inlineStr">
        <is>
          <t>1; 2023</t>
        </is>
      </c>
      <c r="J2" s="12" t="inlineStr">
        <is>
          <t>Kurt Bryan (2022)</t>
        </is>
      </c>
      <c r="K2" s="15" t="inlineStr">
        <is>
          <t>https://upload.wikimedia.org/wikipedia/en/thumb/6/60/Bay_Area_Panthers_Logo.svg/3840px-Bay_Area_Panthers_Logo.svg.png?utm_source=en.wikipedia.org&amp;utm_campaign=imageinfo&amp;utm_content=thumbnail</t>
        </is>
      </c>
      <c r="L2" s="12" t="n"/>
      <c r="M2" s="12" t="n"/>
      <c r="N2" s="12" t="n"/>
      <c r="O2" s="16" t="inlineStr">
        <is>
          <t>The Bay Area Panthers are a professional indoor football team based in San Jose, California, that competes in the Indoor Football League (IFL). The team was to begin play in 2020 at Oakland Arena as the Oakland Panthers.[3] Due to the onset of the COVID-19 pandemic, the Panthers' inaugural season was canceled, and the team withdrew from the following 2021 season. Prior to the 2022 season, the Panthers announced they would instead play their home games at SAP Center in San Jose and were renamed after the Bay Area. They won their first championship in 2023. THey went dormant after the 2025 season, with no current plans to return.</t>
        </is>
      </c>
      <c r="P2" s="12" t="n"/>
      <c r="Q2" s="12" t="n"/>
      <c r="R2" s="12" t="n"/>
      <c r="S2" s="12" t="n"/>
      <c r="T2" s="12" t="n"/>
      <c r="U2" s="12" t="n"/>
      <c r="V2" s="12" t="n"/>
      <c r="W2" s="12" t="n"/>
      <c r="X2" s="12" t="n"/>
      <c r="Y2" s="12" t="n"/>
      <c r="Z2" s="12" t="n"/>
      <c r="AA2" s="12" t="n"/>
      <c r="AB2" s="12" t="n"/>
      <c r="AC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row>
  </sheetData>
  <hyperlinks>
    <hyperlink xmlns:r="http://schemas.openxmlformats.org/officeDocument/2006/relationships" ref="K2"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H11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6.13" customWidth="1" style="22" min="1" max="1"/>
  </cols>
  <sheetData>
    <row r="1">
      <c r="A1" s="12" t="inlineStr">
        <is>
          <t>Name</t>
        </is>
      </c>
      <c r="B1" s="12" t="inlineStr">
        <is>
          <t>Pos</t>
        </is>
      </c>
      <c r="C1" s="12" t="inlineStr">
        <is>
          <t>Season</t>
        </is>
      </c>
      <c r="D1" s="12" t="inlineStr">
        <is>
          <t>GP</t>
        </is>
      </c>
      <c r="E1" s="12" t="inlineStr">
        <is>
          <t>P Comp</t>
        </is>
      </c>
      <c r="F1" s="12" t="inlineStr">
        <is>
          <t>P Att</t>
        </is>
      </c>
      <c r="G1" s="12" t="inlineStr">
        <is>
          <t>P Yds</t>
        </is>
      </c>
      <c r="H1" s="11" t="inlineStr">
        <is>
          <t>P TD</t>
        </is>
      </c>
      <c r="I1" s="11" t="inlineStr">
        <is>
          <t>P Int</t>
        </is>
      </c>
      <c r="J1" s="12" t="inlineStr">
        <is>
          <t>Rush Att</t>
        </is>
      </c>
      <c r="K1" s="12" t="inlineStr">
        <is>
          <t>Rush Yds</t>
        </is>
      </c>
      <c r="L1" s="11" t="inlineStr">
        <is>
          <t>Rush TD</t>
        </is>
      </c>
      <c r="M1" s="12" t="inlineStr">
        <is>
          <t>Rec</t>
        </is>
      </c>
      <c r="N1" s="12" t="inlineStr">
        <is>
          <t>Rec Yds</t>
        </is>
      </c>
      <c r="O1" s="11" t="inlineStr">
        <is>
          <t>Rec TD</t>
        </is>
      </c>
      <c r="P1" s="12" t="inlineStr">
        <is>
          <t>KR</t>
        </is>
      </c>
      <c r="Q1" s="12" t="inlineStr">
        <is>
          <t>KR Yds</t>
        </is>
      </c>
      <c r="R1" s="11" t="inlineStr">
        <is>
          <t>KR TD</t>
        </is>
      </c>
      <c r="S1" s="12" t="inlineStr">
        <is>
          <t>FGM</t>
        </is>
      </c>
      <c r="T1" s="12" t="inlineStr">
        <is>
          <t>FGA</t>
        </is>
      </c>
      <c r="U1" s="12" t="inlineStr">
        <is>
          <t>XPM</t>
        </is>
      </c>
      <c r="V1" s="12" t="inlineStr">
        <is>
          <t>XPA</t>
        </is>
      </c>
      <c r="W1" s="12" t="inlineStr">
        <is>
          <t>Decues</t>
        </is>
      </c>
      <c r="X1" s="12" t="inlineStr">
        <is>
          <t>Pts</t>
        </is>
      </c>
      <c r="Y1" s="12" t="inlineStr">
        <is>
          <t>Tkl</t>
        </is>
      </c>
      <c r="Z1" s="12" t="inlineStr">
        <is>
          <t>Ast</t>
        </is>
      </c>
      <c r="AA1" s="12" t="inlineStr">
        <is>
          <t>TotTkl</t>
        </is>
      </c>
      <c r="AB1" s="12" t="inlineStr">
        <is>
          <t>Sck</t>
        </is>
      </c>
      <c r="AC1" s="12" t="inlineStr">
        <is>
          <t>TFL</t>
        </is>
      </c>
      <c r="AD1" s="12" t="inlineStr">
        <is>
          <t>FF</t>
        </is>
      </c>
      <c r="AE1" s="12" t="inlineStr">
        <is>
          <t>FR</t>
        </is>
      </c>
      <c r="AF1" s="11" t="inlineStr">
        <is>
          <t>Def Int</t>
        </is>
      </c>
      <c r="AG1" s="12" t="inlineStr">
        <is>
          <t>PBU</t>
        </is>
      </c>
      <c r="AH1" s="12" t="inlineStr">
        <is>
          <t>Blk</t>
        </is>
      </c>
    </row>
    <row r="2">
      <c r="A2" t="inlineStr">
        <is>
          <t>Justin Rankin</t>
        </is>
      </c>
      <c r="C2" t="n">
        <v>2023</v>
      </c>
      <c r="D2" t="n">
        <v>14</v>
      </c>
      <c r="J2" t="n">
        <v>170</v>
      </c>
      <c r="K2" t="n">
        <v>738</v>
      </c>
      <c r="L2" t="n">
        <v>36</v>
      </c>
      <c r="M2" t="n">
        <v>24</v>
      </c>
      <c r="N2" t="n">
        <v>250</v>
      </c>
      <c r="O2" t="n">
        <v>3</v>
      </c>
      <c r="P2" t="n">
        <v>3</v>
      </c>
      <c r="Q2" t="n">
        <v>20</v>
      </c>
      <c r="X2" t="n">
        <v>234</v>
      </c>
    </row>
    <row r="3">
      <c r="A3" t="inlineStr">
        <is>
          <t>Shane Simpson</t>
        </is>
      </c>
      <c r="C3" t="n">
        <v>2024</v>
      </c>
      <c r="D3" t="n">
        <v>13</v>
      </c>
      <c r="F3" t="n">
        <v>1</v>
      </c>
      <c r="J3" t="n">
        <v>127</v>
      </c>
      <c r="K3" t="n">
        <v>554</v>
      </c>
      <c r="L3" t="n">
        <v>23</v>
      </c>
      <c r="M3" t="n">
        <v>22</v>
      </c>
      <c r="N3" t="n">
        <v>218</v>
      </c>
      <c r="O3" t="n">
        <v>5</v>
      </c>
      <c r="X3" t="n">
        <v>168</v>
      </c>
      <c r="Y3" t="n">
        <v>2</v>
      </c>
      <c r="Z3" t="n">
        <v>1</v>
      </c>
      <c r="AA3" t="n">
        <v>2.5</v>
      </c>
    </row>
    <row r="4">
      <c r="A4" t="inlineStr">
        <is>
          <t>JT Stokes</t>
        </is>
      </c>
      <c r="C4" t="n">
        <v>2023</v>
      </c>
      <c r="D4" t="n">
        <v>15</v>
      </c>
      <c r="J4" t="n">
        <v>20</v>
      </c>
      <c r="K4" t="n">
        <v>113</v>
      </c>
      <c r="L4" t="n">
        <v>4</v>
      </c>
      <c r="M4" t="n">
        <v>64</v>
      </c>
      <c r="N4" t="n">
        <v>768</v>
      </c>
      <c r="O4" t="n">
        <v>23</v>
      </c>
      <c r="P4" t="n">
        <v>11</v>
      </c>
      <c r="Q4" t="n">
        <v>155</v>
      </c>
      <c r="X4" t="n">
        <v>162</v>
      </c>
      <c r="Y4" t="n">
        <v>4</v>
      </c>
      <c r="AA4" t="n">
        <v>4</v>
      </c>
    </row>
    <row r="5">
      <c r="A5" t="inlineStr">
        <is>
          <t>Joshua Tomas</t>
        </is>
      </c>
      <c r="B5" t="inlineStr">
        <is>
          <t>WR</t>
        </is>
      </c>
      <c r="C5" t="n">
        <v>2025</v>
      </c>
      <c r="D5" t="n">
        <v>13</v>
      </c>
      <c r="J5" t="n">
        <v>107</v>
      </c>
      <c r="K5" t="n">
        <v>474</v>
      </c>
      <c r="L5" t="n">
        <v>17</v>
      </c>
      <c r="M5" t="n">
        <v>44</v>
      </c>
      <c r="N5" t="n">
        <v>501</v>
      </c>
      <c r="O5" t="n">
        <v>5</v>
      </c>
      <c r="P5" t="n">
        <v>32</v>
      </c>
      <c r="Q5" t="n">
        <v>491</v>
      </c>
      <c r="R5" t="n">
        <v>2</v>
      </c>
      <c r="X5" t="n">
        <v>144</v>
      </c>
      <c r="Y5" t="n">
        <v>1</v>
      </c>
      <c r="Z5" t="n">
        <v>2</v>
      </c>
      <c r="AA5" t="n">
        <v>3</v>
      </c>
    </row>
    <row r="6">
      <c r="A6" t="inlineStr">
        <is>
          <t>Daquan Neal</t>
        </is>
      </c>
      <c r="C6" t="n">
        <v>2024</v>
      </c>
      <c r="D6" t="n">
        <v>14</v>
      </c>
      <c r="E6" t="n">
        <v>127</v>
      </c>
      <c r="F6" t="n">
        <v>190</v>
      </c>
      <c r="G6" t="n">
        <v>1490</v>
      </c>
      <c r="H6" t="n">
        <v>29</v>
      </c>
      <c r="I6" t="n">
        <v>5</v>
      </c>
      <c r="J6" t="n">
        <v>131</v>
      </c>
      <c r="K6" t="n">
        <v>636</v>
      </c>
      <c r="L6" t="n">
        <v>19</v>
      </c>
      <c r="X6" t="n">
        <v>114</v>
      </c>
    </row>
    <row r="7">
      <c r="A7" t="inlineStr">
        <is>
          <t>JT Stokes</t>
        </is>
      </c>
      <c r="C7" t="n">
        <v>2024</v>
      </c>
      <c r="D7" t="n">
        <v>16</v>
      </c>
      <c r="J7" t="n">
        <v>27</v>
      </c>
      <c r="K7" t="n">
        <v>99</v>
      </c>
      <c r="L7" t="n">
        <v>3</v>
      </c>
      <c r="M7" t="n">
        <v>61</v>
      </c>
      <c r="N7" t="n">
        <v>725</v>
      </c>
      <c r="O7" t="n">
        <v>15</v>
      </c>
      <c r="X7" t="n">
        <v>108</v>
      </c>
      <c r="Y7" t="n">
        <v>3</v>
      </c>
      <c r="Z7" t="n">
        <v>1</v>
      </c>
      <c r="AA7" t="n">
        <v>3.5</v>
      </c>
    </row>
    <row r="8">
      <c r="A8" t="inlineStr">
        <is>
          <t>Josh Jones</t>
        </is>
      </c>
      <c r="B8" t="inlineStr">
        <is>
          <t>QB</t>
        </is>
      </c>
      <c r="C8" t="n">
        <v>2025</v>
      </c>
      <c r="D8" t="n">
        <v>14</v>
      </c>
      <c r="E8" t="n">
        <v>166</v>
      </c>
      <c r="F8" t="n">
        <v>273</v>
      </c>
      <c r="G8" t="n">
        <v>1822</v>
      </c>
      <c r="H8" t="n">
        <v>33</v>
      </c>
      <c r="I8" t="n">
        <v>10</v>
      </c>
      <c r="J8" t="n">
        <v>142</v>
      </c>
      <c r="K8" t="n">
        <v>606</v>
      </c>
      <c r="L8" t="n">
        <v>17</v>
      </c>
      <c r="X8" t="n">
        <v>102</v>
      </c>
    </row>
    <row r="9">
      <c r="A9" t="inlineStr">
        <is>
          <t>Axel Perez</t>
        </is>
      </c>
      <c r="B9" t="inlineStr">
        <is>
          <t>K</t>
        </is>
      </c>
      <c r="C9" t="n">
        <v>2025</v>
      </c>
      <c r="D9" t="n">
        <v>14</v>
      </c>
      <c r="S9" t="n">
        <v>8</v>
      </c>
      <c r="T9" t="n">
        <v>16</v>
      </c>
      <c r="U9" t="n">
        <v>64</v>
      </c>
      <c r="V9" t="n">
        <v>85</v>
      </c>
      <c r="X9" t="n">
        <v>88</v>
      </c>
      <c r="Y9" t="n">
        <v>2</v>
      </c>
      <c r="Z9" t="n">
        <v>2</v>
      </c>
      <c r="AA9" t="n">
        <v>4</v>
      </c>
    </row>
    <row r="10">
      <c r="A10" t="inlineStr">
        <is>
          <t>Nih-jer Jackson</t>
        </is>
      </c>
      <c r="C10" t="n">
        <v>2023</v>
      </c>
      <c r="D10" t="n">
        <v>13</v>
      </c>
      <c r="J10" t="n">
        <v>2</v>
      </c>
      <c r="K10" t="n">
        <v>13</v>
      </c>
      <c r="M10" t="n">
        <v>41</v>
      </c>
      <c r="N10" t="n">
        <v>606</v>
      </c>
      <c r="O10" t="n">
        <v>13</v>
      </c>
      <c r="P10" t="n">
        <v>2</v>
      </c>
      <c r="Q10" t="n">
        <v>10</v>
      </c>
      <c r="R10" t="n">
        <v>1</v>
      </c>
      <c r="U10" t="n">
        <v>2</v>
      </c>
      <c r="V10" t="n">
        <v>2</v>
      </c>
      <c r="X10" t="n">
        <v>86</v>
      </c>
      <c r="Y10" t="n">
        <v>12</v>
      </c>
      <c r="Z10" t="n">
        <v>5</v>
      </c>
      <c r="AA10" t="n">
        <v>14.5</v>
      </c>
      <c r="AE10" t="n">
        <v>1</v>
      </c>
    </row>
    <row r="11">
      <c r="A11" t="inlineStr">
        <is>
          <t>Tyrese Chambers</t>
        </is>
      </c>
      <c r="B11" t="inlineStr">
        <is>
          <t>WR</t>
        </is>
      </c>
      <c r="C11" t="n">
        <v>2025</v>
      </c>
      <c r="D11" t="n">
        <v>10</v>
      </c>
      <c r="J11" t="n">
        <v>3</v>
      </c>
      <c r="K11" t="n">
        <v>-2</v>
      </c>
      <c r="M11" t="n">
        <v>42</v>
      </c>
      <c r="N11" t="n">
        <v>530</v>
      </c>
      <c r="O11" t="n">
        <v>14</v>
      </c>
      <c r="X11" t="n">
        <v>84</v>
      </c>
      <c r="Y11" t="n">
        <v>2</v>
      </c>
      <c r="Z11" t="n">
        <v>1</v>
      </c>
      <c r="AA11" t="n">
        <v>3</v>
      </c>
    </row>
    <row r="12">
      <c r="A12" t="inlineStr">
        <is>
          <t>Dalton Sneed</t>
        </is>
      </c>
      <c r="C12" t="n">
        <v>2023</v>
      </c>
      <c r="D12" t="n">
        <v>13</v>
      </c>
      <c r="E12" t="n">
        <v>157</v>
      </c>
      <c r="F12" t="n">
        <v>231</v>
      </c>
      <c r="G12" t="n">
        <v>1941</v>
      </c>
      <c r="H12" t="n">
        <v>42</v>
      </c>
      <c r="I12" t="n">
        <v>3</v>
      </c>
      <c r="J12" t="n">
        <v>93</v>
      </c>
      <c r="K12" t="n">
        <v>466</v>
      </c>
      <c r="L12" t="n">
        <v>13</v>
      </c>
      <c r="X12" t="n">
        <v>78</v>
      </c>
      <c r="Y12" t="n">
        <v>1</v>
      </c>
      <c r="AA12" t="n">
        <v>1</v>
      </c>
    </row>
    <row r="13">
      <c r="A13" t="inlineStr">
        <is>
          <t>Jazeric Peterson</t>
        </is>
      </c>
      <c r="C13" t="n">
        <v>2024</v>
      </c>
      <c r="D13" t="n">
        <v>16</v>
      </c>
      <c r="J13" t="n">
        <v>2</v>
      </c>
      <c r="K13" t="n">
        <v>5</v>
      </c>
      <c r="M13" t="n">
        <v>37</v>
      </c>
      <c r="N13" t="n">
        <v>432</v>
      </c>
      <c r="O13" t="n">
        <v>11</v>
      </c>
      <c r="P13" t="n">
        <v>7</v>
      </c>
      <c r="Q13" t="n">
        <v>129</v>
      </c>
      <c r="R13" t="n">
        <v>1</v>
      </c>
      <c r="X13" t="n">
        <v>72</v>
      </c>
      <c r="Y13" t="n">
        <v>9</v>
      </c>
      <c r="Z13" t="n">
        <v>5</v>
      </c>
      <c r="AA13" t="n">
        <v>11.5</v>
      </c>
    </row>
    <row r="14">
      <c r="A14" t="inlineStr">
        <is>
          <t>Trevon Alexander</t>
        </is>
      </c>
      <c r="B14" t="inlineStr">
        <is>
          <t>WR</t>
        </is>
      </c>
      <c r="C14" t="n">
        <v>2025</v>
      </c>
      <c r="D14" t="n">
        <v>12</v>
      </c>
      <c r="J14" t="n">
        <v>16</v>
      </c>
      <c r="K14" t="n">
        <v>58</v>
      </c>
      <c r="L14" t="n">
        <v>1</v>
      </c>
      <c r="M14" t="n">
        <v>25</v>
      </c>
      <c r="N14" t="n">
        <v>308</v>
      </c>
      <c r="O14" t="n">
        <v>10</v>
      </c>
      <c r="X14" t="n">
        <v>66</v>
      </c>
      <c r="Y14" t="n">
        <v>2</v>
      </c>
      <c r="Z14" t="n">
        <v>8</v>
      </c>
      <c r="AA14" t="n">
        <v>10</v>
      </c>
    </row>
    <row r="15">
      <c r="A15" t="inlineStr">
        <is>
          <t>Cutrel Haywood</t>
        </is>
      </c>
      <c r="C15" t="n">
        <v>2023</v>
      </c>
      <c r="D15" t="n">
        <v>11</v>
      </c>
      <c r="J15" t="n">
        <v>6</v>
      </c>
      <c r="K15" t="n">
        <v>5</v>
      </c>
      <c r="M15" t="n">
        <v>31</v>
      </c>
      <c r="N15" t="n">
        <v>393</v>
      </c>
      <c r="O15" t="n">
        <v>8</v>
      </c>
      <c r="P15" t="n">
        <v>5</v>
      </c>
      <c r="Q15" t="n">
        <v>55</v>
      </c>
      <c r="X15" t="n">
        <v>48</v>
      </c>
    </row>
    <row r="16">
      <c r="A16" t="inlineStr">
        <is>
          <t>Stevie Artigue</t>
        </is>
      </c>
      <c r="C16" t="n">
        <v>2024</v>
      </c>
      <c r="D16" t="n">
        <v>8</v>
      </c>
      <c r="S16" t="n">
        <v>2</v>
      </c>
      <c r="T16" t="n">
        <v>11</v>
      </c>
      <c r="U16" t="n">
        <v>40</v>
      </c>
      <c r="V16" t="n">
        <v>51</v>
      </c>
      <c r="X16" t="n">
        <v>46</v>
      </c>
      <c r="Y16" t="n">
        <v>1</v>
      </c>
      <c r="AA16" t="n">
        <v>1</v>
      </c>
    </row>
    <row r="17">
      <c r="A17" t="inlineStr">
        <is>
          <t>Aedan Johnson</t>
        </is>
      </c>
      <c r="C17" t="n">
        <v>2023</v>
      </c>
      <c r="D17" t="n">
        <v>7</v>
      </c>
      <c r="S17" t="n">
        <v>1</v>
      </c>
      <c r="T17" t="n">
        <v>5</v>
      </c>
      <c r="U17" t="n">
        <v>41</v>
      </c>
      <c r="V17" t="n">
        <v>51</v>
      </c>
      <c r="X17" t="n">
        <v>44</v>
      </c>
      <c r="Y17" t="n">
        <v>1</v>
      </c>
      <c r="AA17" t="n">
        <v>1</v>
      </c>
    </row>
    <row r="18">
      <c r="A18" t="inlineStr">
        <is>
          <t>Felix Harper</t>
        </is>
      </c>
      <c r="C18" t="n">
        <v>2024</v>
      </c>
      <c r="D18" t="n">
        <v>9</v>
      </c>
      <c r="E18" t="n">
        <v>63</v>
      </c>
      <c r="F18" t="n">
        <v>102</v>
      </c>
      <c r="G18" t="n">
        <v>661</v>
      </c>
      <c r="H18" t="n">
        <v>11</v>
      </c>
      <c r="I18" t="n">
        <v>7</v>
      </c>
      <c r="J18" t="n">
        <v>51</v>
      </c>
      <c r="K18" t="n">
        <v>159</v>
      </c>
      <c r="L18" t="n">
        <v>7</v>
      </c>
      <c r="X18" t="n">
        <v>42</v>
      </c>
      <c r="Y18" t="n">
        <v>1</v>
      </c>
      <c r="AA18" t="n">
        <v>1</v>
      </c>
    </row>
    <row r="19">
      <c r="A19" t="inlineStr">
        <is>
          <t>Tosin Oyekanmi</t>
        </is>
      </c>
      <c r="B19" t="inlineStr">
        <is>
          <t>WR</t>
        </is>
      </c>
      <c r="C19" t="n">
        <v>2025</v>
      </c>
      <c r="D19" t="n">
        <v>14</v>
      </c>
      <c r="J19" t="n">
        <v>13</v>
      </c>
      <c r="K19" t="n">
        <v>46</v>
      </c>
      <c r="L19" t="n">
        <v>4</v>
      </c>
      <c r="M19" t="n">
        <v>36</v>
      </c>
      <c r="N19" t="n">
        <v>329</v>
      </c>
      <c r="O19" t="n">
        <v>3</v>
      </c>
      <c r="P19" t="n">
        <v>10</v>
      </c>
      <c r="Q19" t="n">
        <v>126</v>
      </c>
      <c r="X19" t="n">
        <v>42</v>
      </c>
      <c r="Y19" t="n">
        <v>2</v>
      </c>
      <c r="Z19" t="n">
        <v>4</v>
      </c>
      <c r="AA19" t="n">
        <v>6</v>
      </c>
    </row>
    <row r="20">
      <c r="A20" t="inlineStr">
        <is>
          <t>Craig Peterson</t>
        </is>
      </c>
      <c r="C20" t="n">
        <v>2024</v>
      </c>
      <c r="D20" t="n">
        <v>6</v>
      </c>
      <c r="S20" t="n">
        <v>3</v>
      </c>
      <c r="T20" t="n">
        <v>7</v>
      </c>
      <c r="U20" t="n">
        <v>26</v>
      </c>
      <c r="V20" t="n">
        <v>38</v>
      </c>
      <c r="W20" t="n">
        <v>2</v>
      </c>
      <c r="X20" t="n">
        <v>39</v>
      </c>
      <c r="Y20" t="n">
        <v>1</v>
      </c>
      <c r="AA20" t="n">
        <v>1</v>
      </c>
    </row>
    <row r="21">
      <c r="A21" t="inlineStr">
        <is>
          <t>Joshua Tomas</t>
        </is>
      </c>
      <c r="C21" t="n">
        <v>2024</v>
      </c>
      <c r="D21" t="n">
        <v>14</v>
      </c>
      <c r="J21" t="n">
        <v>3</v>
      </c>
      <c r="K21" t="n">
        <v>15</v>
      </c>
      <c r="M21" t="n">
        <v>32</v>
      </c>
      <c r="N21" t="n">
        <v>330</v>
      </c>
      <c r="O21" t="n">
        <v>4</v>
      </c>
      <c r="P21" t="n">
        <v>32</v>
      </c>
      <c r="Q21" t="n">
        <v>559</v>
      </c>
      <c r="U21" t="n">
        <v>1</v>
      </c>
      <c r="V21" t="n">
        <v>1</v>
      </c>
      <c r="X21" t="n">
        <v>25</v>
      </c>
      <c r="Y21" t="n">
        <v>7</v>
      </c>
      <c r="Z21" t="n">
        <v>1</v>
      </c>
      <c r="AA21" t="n">
        <v>7.5</v>
      </c>
    </row>
    <row r="22">
      <c r="A22" t="inlineStr">
        <is>
          <t>Liam Thompson</t>
        </is>
      </c>
      <c r="B22" t="inlineStr">
        <is>
          <t>QB</t>
        </is>
      </c>
      <c r="C22" t="n">
        <v>2025</v>
      </c>
      <c r="D22" t="n">
        <v>2</v>
      </c>
      <c r="E22" t="n">
        <v>7</v>
      </c>
      <c r="F22" t="n">
        <v>14</v>
      </c>
      <c r="G22" t="n">
        <v>74</v>
      </c>
      <c r="H22" t="n">
        <v>1</v>
      </c>
      <c r="J22" t="n">
        <v>21</v>
      </c>
      <c r="K22" t="n">
        <v>105</v>
      </c>
      <c r="L22" t="n">
        <v>4</v>
      </c>
      <c r="X22" t="n">
        <v>24</v>
      </c>
    </row>
    <row r="23">
      <c r="A23" t="inlineStr">
        <is>
          <t>Kevin Goessling</t>
        </is>
      </c>
      <c r="C23" t="n">
        <v>2023</v>
      </c>
      <c r="S23" t="n">
        <v>2</v>
      </c>
      <c r="T23" t="n">
        <v>4</v>
      </c>
      <c r="U23" t="n">
        <v>13</v>
      </c>
      <c r="V23" t="n">
        <v>16</v>
      </c>
      <c r="X23" t="n">
        <v>19</v>
      </c>
    </row>
    <row r="24">
      <c r="A24" t="inlineStr">
        <is>
          <t>Arsiah McCorker</t>
        </is>
      </c>
      <c r="B24" t="inlineStr">
        <is>
          <t>WR</t>
        </is>
      </c>
      <c r="C24" t="n">
        <v>2025</v>
      </c>
      <c r="D24" t="n">
        <v>5</v>
      </c>
      <c r="J24" t="n">
        <v>8</v>
      </c>
      <c r="K24" t="n">
        <v>47</v>
      </c>
      <c r="L24" t="n">
        <v>1</v>
      </c>
      <c r="M24" t="n">
        <v>14</v>
      </c>
      <c r="N24" t="n">
        <v>111</v>
      </c>
      <c r="O24" t="n">
        <v>1</v>
      </c>
      <c r="P24" t="n">
        <v>12</v>
      </c>
      <c r="Q24" t="n">
        <v>194</v>
      </c>
      <c r="R24" t="n">
        <v>1</v>
      </c>
      <c r="X24" t="n">
        <v>18</v>
      </c>
    </row>
    <row r="25">
      <c r="A25" t="inlineStr">
        <is>
          <t>Craig Peterson</t>
        </is>
      </c>
      <c r="C25" t="n">
        <v>2023</v>
      </c>
      <c r="T25" t="n">
        <v>2</v>
      </c>
      <c r="U25" t="n">
        <v>13</v>
      </c>
      <c r="V25" t="n">
        <v>17</v>
      </c>
      <c r="X25" t="n">
        <v>13</v>
      </c>
    </row>
    <row r="26">
      <c r="A26" t="inlineStr">
        <is>
          <t>Arthur Jackson III</t>
        </is>
      </c>
      <c r="C26" t="n">
        <v>2023</v>
      </c>
      <c r="D26" t="n">
        <v>3</v>
      </c>
      <c r="F26" t="n">
        <v>1</v>
      </c>
      <c r="M26" t="n">
        <v>10</v>
      </c>
      <c r="N26" t="n">
        <v>88</v>
      </c>
      <c r="O26" t="n">
        <v>2</v>
      </c>
      <c r="X26" t="n">
        <v>12</v>
      </c>
    </row>
    <row r="27">
      <c r="A27" t="inlineStr">
        <is>
          <t>Imeek Watkins</t>
        </is>
      </c>
      <c r="C27" t="n">
        <v>2023</v>
      </c>
      <c r="D27" t="n">
        <v>10</v>
      </c>
      <c r="M27" t="n">
        <v>2</v>
      </c>
      <c r="N27" t="n">
        <v>19</v>
      </c>
      <c r="P27" t="n">
        <v>31</v>
      </c>
      <c r="Q27" t="n">
        <v>593</v>
      </c>
      <c r="R27" t="n">
        <v>2</v>
      </c>
      <c r="X27" t="n">
        <v>12</v>
      </c>
      <c r="Y27" t="n">
        <v>5</v>
      </c>
      <c r="Z27" t="n">
        <v>2</v>
      </c>
      <c r="AA27" t="n">
        <v>6</v>
      </c>
    </row>
    <row r="28">
      <c r="A28" t="inlineStr">
        <is>
          <t>Benjamin Jones</t>
        </is>
      </c>
      <c r="C28" t="n">
        <v>2024</v>
      </c>
      <c r="D28" t="n">
        <v>3</v>
      </c>
      <c r="J28" t="n">
        <v>31</v>
      </c>
      <c r="K28" t="n">
        <v>98</v>
      </c>
      <c r="L28" t="n">
        <v>2</v>
      </c>
      <c r="M28" t="n">
        <v>2</v>
      </c>
      <c r="N28" t="n">
        <v>11</v>
      </c>
      <c r="P28" t="n">
        <v>4</v>
      </c>
      <c r="Q28" t="n">
        <v>79</v>
      </c>
      <c r="X28" t="n">
        <v>12</v>
      </c>
      <c r="Z28" t="n">
        <v>2</v>
      </c>
      <c r="AA28" t="n">
        <v>1</v>
      </c>
    </row>
    <row r="29">
      <c r="A29" t="inlineStr">
        <is>
          <t>Pierr Williams</t>
        </is>
      </c>
      <c r="C29" t="n">
        <v>2024</v>
      </c>
      <c r="D29" t="n">
        <v>4</v>
      </c>
      <c r="M29" t="n">
        <v>11</v>
      </c>
      <c r="N29" t="n">
        <v>142</v>
      </c>
      <c r="O29" t="n">
        <v>2</v>
      </c>
      <c r="X29" t="n">
        <v>12</v>
      </c>
    </row>
    <row r="30">
      <c r="A30" t="inlineStr">
        <is>
          <t>Stadf Anderson</t>
        </is>
      </c>
      <c r="C30" t="n">
        <v>2024</v>
      </c>
      <c r="D30" t="n">
        <v>2</v>
      </c>
      <c r="J30" t="n">
        <v>26</v>
      </c>
      <c r="K30" t="n">
        <v>88</v>
      </c>
      <c r="L30" t="n">
        <v>2</v>
      </c>
      <c r="M30" t="n">
        <v>2</v>
      </c>
      <c r="N30" t="n">
        <v>16</v>
      </c>
      <c r="X30" t="n">
        <v>12</v>
      </c>
      <c r="Y30" t="n">
        <v>1</v>
      </c>
      <c r="AA30" t="n">
        <v>1</v>
      </c>
    </row>
    <row r="31">
      <c r="A31" t="inlineStr">
        <is>
          <t>Scott Enos</t>
        </is>
      </c>
      <c r="C31" t="n">
        <v>2024</v>
      </c>
      <c r="S31" t="n">
        <v>2</v>
      </c>
      <c r="T31" t="n">
        <v>5</v>
      </c>
      <c r="U31" t="n">
        <v>4</v>
      </c>
      <c r="V31" t="n">
        <v>7</v>
      </c>
      <c r="X31" t="n">
        <v>10</v>
      </c>
    </row>
    <row r="32">
      <c r="A32" t="inlineStr">
        <is>
          <t>Felix Harper</t>
        </is>
      </c>
      <c r="C32" t="n">
        <v>2023</v>
      </c>
      <c r="D32" t="n">
        <v>6</v>
      </c>
      <c r="E32" t="n">
        <v>28</v>
      </c>
      <c r="F32" t="n">
        <v>44</v>
      </c>
      <c r="G32" t="n">
        <v>325</v>
      </c>
      <c r="H32" t="n">
        <v>8</v>
      </c>
      <c r="I32" t="n">
        <v>3</v>
      </c>
      <c r="J32" t="n">
        <v>13</v>
      </c>
      <c r="K32" t="n">
        <v>49</v>
      </c>
      <c r="L32" t="n">
        <v>1</v>
      </c>
      <c r="X32" t="n">
        <v>6</v>
      </c>
    </row>
    <row r="33">
      <c r="A33" t="inlineStr">
        <is>
          <t>Joe Nowden</t>
        </is>
      </c>
      <c r="C33" t="n">
        <v>2023</v>
      </c>
      <c r="D33" t="n">
        <v>1</v>
      </c>
      <c r="M33" t="n">
        <v>1</v>
      </c>
      <c r="N33" t="n">
        <v>17</v>
      </c>
      <c r="O33" t="n">
        <v>1</v>
      </c>
      <c r="X33" t="n">
        <v>6</v>
      </c>
    </row>
    <row r="34">
      <c r="A34" t="inlineStr">
        <is>
          <t>BJ Taufalele</t>
        </is>
      </c>
      <c r="C34" t="n">
        <v>2024</v>
      </c>
      <c r="D34" t="n">
        <v>15</v>
      </c>
      <c r="P34" t="n">
        <v>2</v>
      </c>
      <c r="Q34" t="n">
        <v>41</v>
      </c>
      <c r="R34" t="n">
        <v>1</v>
      </c>
      <c r="X34" t="n">
        <v>6</v>
      </c>
      <c r="Y34" t="n">
        <v>27</v>
      </c>
      <c r="Z34" t="n">
        <v>24</v>
      </c>
      <c r="AA34" t="n">
        <v>39</v>
      </c>
      <c r="AB34" t="n">
        <v>2</v>
      </c>
      <c r="AC34" t="n">
        <v>6</v>
      </c>
      <c r="AE34" t="n">
        <v>1</v>
      </c>
      <c r="AF34" t="n">
        <v>1</v>
      </c>
      <c r="AG34" t="n">
        <v>1</v>
      </c>
      <c r="AH34" t="n">
        <v>1</v>
      </c>
    </row>
    <row r="35">
      <c r="A35" t="inlineStr">
        <is>
          <t>Dieu Aristilde</t>
        </is>
      </c>
      <c r="C35" t="n">
        <v>2024</v>
      </c>
      <c r="D35" t="n">
        <v>3</v>
      </c>
      <c r="M35" t="n">
        <v>2</v>
      </c>
      <c r="N35" t="n">
        <v>38</v>
      </c>
      <c r="O35" t="n">
        <v>1</v>
      </c>
      <c r="X35" t="n">
        <v>6</v>
      </c>
      <c r="Z35" t="n">
        <v>1</v>
      </c>
      <c r="AA35" t="n">
        <v>0.5</v>
      </c>
    </row>
    <row r="36">
      <c r="A36" t="inlineStr">
        <is>
          <t>Pierre Wiliams</t>
        </is>
      </c>
      <c r="C36" t="n">
        <v>2024</v>
      </c>
      <c r="D36" t="n">
        <v>1</v>
      </c>
      <c r="M36" t="n">
        <v>2</v>
      </c>
      <c r="N36" t="n">
        <v>24</v>
      </c>
      <c r="O36" t="n">
        <v>1</v>
      </c>
      <c r="X36" t="n">
        <v>6</v>
      </c>
    </row>
    <row r="37">
      <c r="A37" t="inlineStr">
        <is>
          <t>Pierre Williams</t>
        </is>
      </c>
      <c r="C37" t="n">
        <v>2024</v>
      </c>
      <c r="D37" t="n">
        <v>4</v>
      </c>
      <c r="M37" t="n">
        <v>15</v>
      </c>
      <c r="N37" t="n">
        <v>173</v>
      </c>
      <c r="O37" t="n">
        <v>1</v>
      </c>
      <c r="X37" t="n">
        <v>6</v>
      </c>
    </row>
    <row r="38">
      <c r="A38" t="inlineStr">
        <is>
          <t>Brian Smith</t>
        </is>
      </c>
      <c r="B38" t="inlineStr">
        <is>
          <t>WR</t>
        </is>
      </c>
      <c r="C38" t="n">
        <v>2025</v>
      </c>
      <c r="D38" t="n">
        <v>5</v>
      </c>
      <c r="J38" t="n">
        <v>4</v>
      </c>
      <c r="K38" t="n">
        <v>13</v>
      </c>
      <c r="M38" t="n">
        <v>8</v>
      </c>
      <c r="N38" t="n">
        <v>93</v>
      </c>
      <c r="O38" t="n">
        <v>1</v>
      </c>
      <c r="X38" t="n">
        <v>6</v>
      </c>
    </row>
    <row r="39">
      <c r="A39" t="inlineStr">
        <is>
          <t>Trey Goodman</t>
        </is>
      </c>
      <c r="C39" t="n">
        <v>2025</v>
      </c>
      <c r="D39" t="n">
        <v>1</v>
      </c>
      <c r="J39" t="n">
        <v>2</v>
      </c>
      <c r="K39" t="n">
        <v>9</v>
      </c>
      <c r="L39" t="n">
        <v>1</v>
      </c>
      <c r="X39" t="n">
        <v>6</v>
      </c>
    </row>
    <row r="40">
      <c r="A40" t="inlineStr">
        <is>
          <t>Miguel Mendes</t>
        </is>
      </c>
      <c r="C40" t="n">
        <v>2023</v>
      </c>
      <c r="T40" t="n">
        <v>2</v>
      </c>
      <c r="U40" t="n">
        <v>4</v>
      </c>
      <c r="V40" t="n">
        <v>6</v>
      </c>
      <c r="X40" t="n">
        <v>4</v>
      </c>
    </row>
    <row r="41">
      <c r="A41" t="inlineStr">
        <is>
          <t>Sawyer Petre</t>
        </is>
      </c>
      <c r="C41" t="n">
        <v>2023</v>
      </c>
      <c r="T41" t="n">
        <v>1</v>
      </c>
      <c r="U41" t="n">
        <v>4</v>
      </c>
      <c r="V41" t="n">
        <v>7</v>
      </c>
      <c r="X41" t="n">
        <v>4</v>
      </c>
    </row>
    <row r="42">
      <c r="A42" t="inlineStr">
        <is>
          <t>Paul Ortiz</t>
        </is>
      </c>
      <c r="C42" t="n">
        <v>2023</v>
      </c>
      <c r="U42" t="n">
        <v>2</v>
      </c>
      <c r="V42" t="n">
        <v>4</v>
      </c>
      <c r="X42" t="n">
        <v>2</v>
      </c>
    </row>
    <row r="43">
      <c r="A43" t="inlineStr">
        <is>
          <t>Tyler Watson</t>
        </is>
      </c>
      <c r="C43" t="n">
        <v>2024</v>
      </c>
      <c r="D43" t="n">
        <v>15</v>
      </c>
      <c r="U43" t="n">
        <v>1</v>
      </c>
      <c r="V43" t="n">
        <v>1</v>
      </c>
      <c r="X43" t="n">
        <v>1</v>
      </c>
      <c r="Y43" t="n">
        <v>55</v>
      </c>
      <c r="Z43" t="n">
        <v>22</v>
      </c>
      <c r="AA43" t="n">
        <v>66</v>
      </c>
      <c r="AC43" t="n">
        <v>2</v>
      </c>
      <c r="AF43" t="n">
        <v>1</v>
      </c>
      <c r="AG43" t="n">
        <v>18</v>
      </c>
    </row>
    <row r="44">
      <c r="A44" t="inlineStr">
        <is>
          <t>Aaron Dilworth</t>
        </is>
      </c>
      <c r="C44" t="n">
        <v>2023</v>
      </c>
      <c r="D44" t="n">
        <v>2</v>
      </c>
      <c r="M44" t="n">
        <v>4</v>
      </c>
      <c r="N44" t="n">
        <v>24</v>
      </c>
      <c r="X44" t="n">
        <v>0</v>
      </c>
    </row>
    <row r="45">
      <c r="A45" t="inlineStr">
        <is>
          <t>Amari Catchings</t>
        </is>
      </c>
      <c r="C45" t="n">
        <v>2023</v>
      </c>
      <c r="D45" t="n">
        <v>11</v>
      </c>
      <c r="X45" t="n">
        <v>0</v>
      </c>
      <c r="Y45" t="n">
        <v>1</v>
      </c>
      <c r="AA45" t="n">
        <v>1</v>
      </c>
    </row>
    <row r="46">
      <c r="A46" t="inlineStr">
        <is>
          <t>Antwon Kincade</t>
        </is>
      </c>
      <c r="C46" t="n">
        <v>2023</v>
      </c>
      <c r="D46" t="n">
        <v>11</v>
      </c>
      <c r="X46" t="n">
        <v>0</v>
      </c>
      <c r="Y46" t="n">
        <v>48</v>
      </c>
      <c r="Z46" t="n">
        <v>25</v>
      </c>
      <c r="AA46" t="n">
        <v>60.5</v>
      </c>
      <c r="AC46" t="n">
        <v>3.5</v>
      </c>
      <c r="AF46" t="n">
        <v>3</v>
      </c>
      <c r="AG46" t="n">
        <v>5</v>
      </c>
    </row>
    <row r="47">
      <c r="A47" t="inlineStr">
        <is>
          <t>Boniface Stevens Jr</t>
        </is>
      </c>
      <c r="C47" t="n">
        <v>2023</v>
      </c>
      <c r="D47" t="n">
        <v>14</v>
      </c>
      <c r="X47" t="n">
        <v>0</v>
      </c>
      <c r="Y47" t="n">
        <v>36</v>
      </c>
      <c r="Z47" t="n">
        <v>25</v>
      </c>
      <c r="AA47" t="n">
        <v>48.5</v>
      </c>
      <c r="AC47" t="n">
        <v>2</v>
      </c>
      <c r="AD47" t="n">
        <v>1</v>
      </c>
      <c r="AE47" t="n">
        <v>1</v>
      </c>
      <c r="AF47" t="n">
        <v>1</v>
      </c>
      <c r="AG47" t="n">
        <v>12</v>
      </c>
    </row>
    <row r="48">
      <c r="A48" t="inlineStr">
        <is>
          <t>Boss Tagaloa</t>
        </is>
      </c>
      <c r="C48" t="n">
        <v>2023</v>
      </c>
      <c r="D48" t="n">
        <v>3</v>
      </c>
      <c r="X48" t="n">
        <v>0</v>
      </c>
      <c r="Z48" t="n">
        <v>1</v>
      </c>
      <c r="AA48" t="n">
        <v>0.5</v>
      </c>
    </row>
    <row r="49">
      <c r="A49" t="inlineStr">
        <is>
          <t>Cory Murphy</t>
        </is>
      </c>
      <c r="C49" t="n">
        <v>2023</v>
      </c>
      <c r="D49" t="n">
        <v>2</v>
      </c>
      <c r="J49" t="n">
        <v>2</v>
      </c>
      <c r="K49" t="n">
        <v>-3</v>
      </c>
      <c r="X49" t="n">
        <v>0</v>
      </c>
      <c r="Z49" t="n">
        <v>1</v>
      </c>
      <c r="AA49" t="n">
        <v>0.5</v>
      </c>
    </row>
    <row r="50">
      <c r="A50" t="inlineStr">
        <is>
          <t>Cutrell Wood</t>
        </is>
      </c>
      <c r="C50" t="n">
        <v>2023</v>
      </c>
      <c r="D50" t="n">
        <v>1</v>
      </c>
      <c r="M50" t="n">
        <v>2</v>
      </c>
      <c r="N50" t="n">
        <v>29</v>
      </c>
      <c r="X50" t="n">
        <v>0</v>
      </c>
    </row>
    <row r="51">
      <c r="A51" t="inlineStr">
        <is>
          <t>Darin Hungerford</t>
        </is>
      </c>
      <c r="C51" t="n">
        <v>2023</v>
      </c>
      <c r="D51" t="n">
        <v>8</v>
      </c>
      <c r="X51" t="n">
        <v>0</v>
      </c>
      <c r="Y51" t="n">
        <v>27</v>
      </c>
      <c r="Z51" t="n">
        <v>17</v>
      </c>
      <c r="AA51" t="n">
        <v>35.5</v>
      </c>
      <c r="AB51" t="n">
        <v>2.5</v>
      </c>
      <c r="AC51" t="n">
        <v>5</v>
      </c>
      <c r="AD51" t="n">
        <v>1</v>
      </c>
      <c r="AF51" t="n">
        <v>1</v>
      </c>
      <c r="AG51" t="n">
        <v>2</v>
      </c>
    </row>
    <row r="52">
      <c r="A52" t="inlineStr">
        <is>
          <t>Datona Jackson</t>
        </is>
      </c>
      <c r="C52" t="n">
        <v>2023</v>
      </c>
      <c r="D52" t="n">
        <v>5</v>
      </c>
      <c r="X52" t="n">
        <v>0</v>
      </c>
      <c r="Y52" t="n">
        <v>4</v>
      </c>
      <c r="Z52" t="n">
        <v>2</v>
      </c>
      <c r="AA52" t="n">
        <v>5</v>
      </c>
      <c r="AC52" t="n">
        <v>1.5</v>
      </c>
    </row>
    <row r="53">
      <c r="A53" t="inlineStr">
        <is>
          <t>Devin Wynn</t>
        </is>
      </c>
      <c r="C53" t="n">
        <v>2023</v>
      </c>
      <c r="D53" t="n">
        <v>4</v>
      </c>
      <c r="J53" t="n">
        <v>6</v>
      </c>
      <c r="K53" t="n">
        <v>6</v>
      </c>
      <c r="M53" t="n">
        <v>1</v>
      </c>
      <c r="N53" t="n">
        <v>26</v>
      </c>
      <c r="P53" t="n">
        <v>4</v>
      </c>
      <c r="Q53" t="n">
        <v>72</v>
      </c>
      <c r="X53" t="n">
        <v>0</v>
      </c>
      <c r="Z53" t="n">
        <v>1</v>
      </c>
      <c r="AA53" t="n">
        <v>0.5</v>
      </c>
    </row>
    <row r="54">
      <c r="A54" t="inlineStr">
        <is>
          <t>Elyja Lipscomb</t>
        </is>
      </c>
      <c r="C54" t="n">
        <v>2023</v>
      </c>
      <c r="D54" t="n">
        <v>10</v>
      </c>
      <c r="X54" t="n">
        <v>0</v>
      </c>
      <c r="Y54" t="n">
        <v>1</v>
      </c>
      <c r="Z54" t="n">
        <v>1</v>
      </c>
      <c r="AA54" t="n">
        <v>1.5</v>
      </c>
    </row>
    <row r="55">
      <c r="A55" t="inlineStr">
        <is>
          <t>Josh Rogers</t>
        </is>
      </c>
      <c r="C55" t="n">
        <v>2023</v>
      </c>
      <c r="D55" t="n">
        <v>11</v>
      </c>
      <c r="X55" t="n">
        <v>0</v>
      </c>
      <c r="Y55" t="n">
        <v>9</v>
      </c>
      <c r="Z55" t="n">
        <v>13</v>
      </c>
      <c r="AA55" t="n">
        <v>15.5</v>
      </c>
      <c r="AB55" t="n">
        <v>0.5</v>
      </c>
      <c r="AC55" t="n">
        <v>1</v>
      </c>
      <c r="AG55" t="n">
        <v>2</v>
      </c>
    </row>
    <row r="56">
      <c r="A56" t="inlineStr">
        <is>
          <t>Kendric Wilson</t>
        </is>
      </c>
      <c r="C56" t="n">
        <v>2023</v>
      </c>
      <c r="D56" t="n">
        <v>1</v>
      </c>
      <c r="X56" t="n">
        <v>0</v>
      </c>
      <c r="Y56" t="n">
        <v>1</v>
      </c>
      <c r="AA56" t="n">
        <v>1</v>
      </c>
      <c r="AB56" t="n">
        <v>1</v>
      </c>
      <c r="AC56" t="n">
        <v>1</v>
      </c>
    </row>
    <row r="57">
      <c r="A57" t="inlineStr">
        <is>
          <t>Kenton Bartlett</t>
        </is>
      </c>
      <c r="C57" t="n">
        <v>2023</v>
      </c>
      <c r="D57" t="n">
        <v>3</v>
      </c>
      <c r="X57" t="n">
        <v>0</v>
      </c>
      <c r="Y57" t="n">
        <v>4</v>
      </c>
      <c r="Z57" t="n">
        <v>11</v>
      </c>
      <c r="AA57" t="n">
        <v>9.5</v>
      </c>
      <c r="AB57" t="n">
        <v>1</v>
      </c>
      <c r="AC57" t="n">
        <v>2</v>
      </c>
    </row>
    <row r="58">
      <c r="A58" t="inlineStr">
        <is>
          <t>Livin Paogofie</t>
        </is>
      </c>
      <c r="C58" t="n">
        <v>2023</v>
      </c>
      <c r="D58" t="n">
        <v>2</v>
      </c>
      <c r="X58" t="n">
        <v>0</v>
      </c>
      <c r="Y58" t="n">
        <v>2</v>
      </c>
      <c r="Z58" t="n">
        <v>2</v>
      </c>
      <c r="AA58" t="n">
        <v>3</v>
      </c>
    </row>
    <row r="59">
      <c r="A59" t="inlineStr">
        <is>
          <t>Malik Dorton</t>
        </is>
      </c>
      <c r="C59" t="n">
        <v>2023</v>
      </c>
      <c r="D59" t="n">
        <v>8</v>
      </c>
      <c r="X59" t="n">
        <v>0</v>
      </c>
      <c r="Y59" t="n">
        <v>3</v>
      </c>
      <c r="Z59" t="n">
        <v>13</v>
      </c>
      <c r="AA59" t="n">
        <v>9.5</v>
      </c>
      <c r="AB59" t="n">
        <v>0.5</v>
      </c>
      <c r="AC59" t="n">
        <v>0.5</v>
      </c>
      <c r="AD59" t="n">
        <v>1</v>
      </c>
    </row>
    <row r="60">
      <c r="A60" t="inlineStr">
        <is>
          <t>Marquise Bridges</t>
        </is>
      </c>
      <c r="C60" t="n">
        <v>2023</v>
      </c>
      <c r="D60" t="n">
        <v>15</v>
      </c>
      <c r="P60" t="n">
        <v>7</v>
      </c>
      <c r="Q60" t="n">
        <v>85</v>
      </c>
      <c r="X60" t="n">
        <v>0</v>
      </c>
      <c r="Y60" t="n">
        <v>34</v>
      </c>
      <c r="Z60" t="n">
        <v>39</v>
      </c>
      <c r="AA60" t="n">
        <v>53.5</v>
      </c>
      <c r="AC60" t="n">
        <v>2</v>
      </c>
      <c r="AF60" t="n">
        <v>5</v>
      </c>
      <c r="AG60" t="n">
        <v>10</v>
      </c>
    </row>
    <row r="61">
      <c r="A61" t="inlineStr">
        <is>
          <t>Mike Andrejco</t>
        </is>
      </c>
      <c r="C61" t="n">
        <v>2023</v>
      </c>
      <c r="D61" t="n">
        <v>4</v>
      </c>
      <c r="X61" t="n">
        <v>0</v>
      </c>
      <c r="Y61" t="n">
        <v>1</v>
      </c>
      <c r="Z61" t="n">
        <v>1</v>
      </c>
      <c r="AA61" t="n">
        <v>1.5</v>
      </c>
    </row>
    <row r="62">
      <c r="A62" t="inlineStr">
        <is>
          <t>Nathan Talakai</t>
        </is>
      </c>
      <c r="C62" t="n">
        <v>2023</v>
      </c>
      <c r="D62" t="n">
        <v>7</v>
      </c>
      <c r="X62" t="n">
        <v>0</v>
      </c>
      <c r="Y62" t="n">
        <v>8</v>
      </c>
      <c r="Z62" t="n">
        <v>4</v>
      </c>
      <c r="AA62" t="n">
        <v>10</v>
      </c>
      <c r="AC62" t="n">
        <v>2</v>
      </c>
    </row>
    <row r="63">
      <c r="A63" t="inlineStr">
        <is>
          <t>Ponce De Leon</t>
        </is>
      </c>
      <c r="C63" t="n">
        <v>2023</v>
      </c>
      <c r="D63" t="n">
        <v>3</v>
      </c>
      <c r="P63" t="n">
        <v>2</v>
      </c>
      <c r="Q63" t="n">
        <v>37</v>
      </c>
      <c r="X63" t="n">
        <v>0</v>
      </c>
      <c r="Y63" t="n">
        <v>4</v>
      </c>
      <c r="Z63" t="n">
        <v>2</v>
      </c>
      <c r="AA63" t="n">
        <v>5</v>
      </c>
    </row>
    <row r="64">
      <c r="A64" t="inlineStr">
        <is>
          <t>Quentin Harrison</t>
        </is>
      </c>
      <c r="C64" t="n">
        <v>2023</v>
      </c>
      <c r="D64" t="n">
        <v>1</v>
      </c>
      <c r="M64" t="n">
        <v>2</v>
      </c>
      <c r="N64" t="n">
        <v>20</v>
      </c>
      <c r="X64" t="n">
        <v>0</v>
      </c>
      <c r="Z64" t="n">
        <v>1</v>
      </c>
      <c r="AA64" t="n">
        <v>0.5</v>
      </c>
    </row>
    <row r="65">
      <c r="A65" t="inlineStr">
        <is>
          <t>Rodr Henderson</t>
        </is>
      </c>
      <c r="C65" t="n">
        <v>2023</v>
      </c>
      <c r="D65" t="n">
        <v>3</v>
      </c>
      <c r="X65" t="n">
        <v>0</v>
      </c>
      <c r="Y65" t="n">
        <v>3</v>
      </c>
      <c r="AA65" t="n">
        <v>3</v>
      </c>
    </row>
    <row r="66">
      <c r="A66" t="inlineStr">
        <is>
          <t>Tevaughn Grant</t>
        </is>
      </c>
      <c r="C66" t="n">
        <v>2023</v>
      </c>
      <c r="D66" t="n">
        <v>13</v>
      </c>
      <c r="X66" t="n">
        <v>0</v>
      </c>
      <c r="Y66" t="n">
        <v>25</v>
      </c>
      <c r="Z66" t="n">
        <v>29</v>
      </c>
      <c r="AA66" t="n">
        <v>39.5</v>
      </c>
      <c r="AB66" t="n">
        <v>5.5</v>
      </c>
      <c r="AC66" t="n">
        <v>9</v>
      </c>
      <c r="AD66" t="n">
        <v>2</v>
      </c>
      <c r="AG66" t="n">
        <v>1</v>
      </c>
      <c r="AH66" t="n">
        <v>1</v>
      </c>
    </row>
    <row r="67">
      <c r="A67" t="inlineStr">
        <is>
          <t>Tevin Homer</t>
        </is>
      </c>
      <c r="C67" t="n">
        <v>2023</v>
      </c>
      <c r="D67" t="n">
        <v>3</v>
      </c>
      <c r="X67" t="n">
        <v>0</v>
      </c>
      <c r="Y67" t="n">
        <v>7</v>
      </c>
      <c r="Z67" t="n">
        <v>2</v>
      </c>
      <c r="AA67" t="n">
        <v>8</v>
      </c>
      <c r="AE67" t="n">
        <v>1</v>
      </c>
      <c r="AG67" t="n">
        <v>3</v>
      </c>
    </row>
    <row r="68">
      <c r="A68" t="inlineStr">
        <is>
          <t>Trae Meadows</t>
        </is>
      </c>
      <c r="C68" t="n">
        <v>2023</v>
      </c>
      <c r="D68" t="n">
        <v>15</v>
      </c>
      <c r="X68" t="n">
        <v>0</v>
      </c>
      <c r="Y68" t="n">
        <v>58</v>
      </c>
      <c r="Z68" t="n">
        <v>22</v>
      </c>
      <c r="AA68" t="n">
        <v>69</v>
      </c>
      <c r="AC68" t="n">
        <v>1</v>
      </c>
      <c r="AD68" t="n">
        <v>1</v>
      </c>
      <c r="AF68" t="n">
        <v>5</v>
      </c>
      <c r="AG68" t="n">
        <v>13</v>
      </c>
    </row>
    <row r="69">
      <c r="A69" t="inlineStr">
        <is>
          <t>Tyrone Crowmwell</t>
        </is>
      </c>
      <c r="C69" t="n">
        <v>2023</v>
      </c>
      <c r="D69" t="n">
        <v>3</v>
      </c>
      <c r="P69" t="n">
        <v>2</v>
      </c>
      <c r="Q69" t="n">
        <v>33</v>
      </c>
      <c r="X69" t="n">
        <v>0</v>
      </c>
      <c r="Y69" t="n">
        <v>7</v>
      </c>
      <c r="Z69" t="n">
        <v>5</v>
      </c>
      <c r="AA69" t="n">
        <v>9.5</v>
      </c>
    </row>
    <row r="70">
      <c r="A70" t="inlineStr">
        <is>
          <t>Tyson Morris</t>
        </is>
      </c>
      <c r="C70" t="n">
        <v>2023</v>
      </c>
      <c r="D70" t="n">
        <v>2</v>
      </c>
      <c r="M70" t="n">
        <v>3</v>
      </c>
      <c r="N70" t="n">
        <v>26</v>
      </c>
      <c r="X70" t="n">
        <v>0</v>
      </c>
      <c r="Y70" t="n">
        <v>1</v>
      </c>
      <c r="Z70" t="n">
        <v>1</v>
      </c>
      <c r="AA70" t="n">
        <v>1.5</v>
      </c>
    </row>
    <row r="71">
      <c r="A71" t="inlineStr">
        <is>
          <t>Wesley Bowers</t>
        </is>
      </c>
      <c r="C71" t="n">
        <v>2023</v>
      </c>
      <c r="D71" t="n">
        <v>8</v>
      </c>
      <c r="X71" t="n">
        <v>0</v>
      </c>
      <c r="Y71" t="n">
        <v>19</v>
      </c>
      <c r="Z71" t="n">
        <v>23</v>
      </c>
      <c r="AA71" t="n">
        <v>30.5</v>
      </c>
      <c r="AB71" t="n">
        <v>1</v>
      </c>
      <c r="AC71" t="n">
        <v>4.5</v>
      </c>
      <c r="AE71" t="n">
        <v>2</v>
      </c>
      <c r="AF71" t="n">
        <v>2</v>
      </c>
      <c r="AH71" t="n">
        <v>1</v>
      </c>
    </row>
    <row r="72">
      <c r="A72" t="inlineStr">
        <is>
          <t>William Atkins</t>
        </is>
      </c>
      <c r="C72" t="n">
        <v>2023</v>
      </c>
      <c r="D72" t="n">
        <v>8</v>
      </c>
      <c r="X72" t="n">
        <v>0</v>
      </c>
      <c r="Y72" t="n">
        <v>24</v>
      </c>
      <c r="Z72" t="n">
        <v>20</v>
      </c>
      <c r="AA72" t="n">
        <v>34</v>
      </c>
      <c r="AC72" t="n">
        <v>2</v>
      </c>
    </row>
    <row r="73">
      <c r="A73" t="inlineStr">
        <is>
          <t>Amari Catchings</t>
        </is>
      </c>
      <c r="C73" t="n">
        <v>2024</v>
      </c>
      <c r="D73" t="n">
        <v>3</v>
      </c>
      <c r="X73" t="n">
        <v>0</v>
      </c>
      <c r="Y73" t="n">
        <v>1</v>
      </c>
      <c r="AA73" t="n">
        <v>1</v>
      </c>
    </row>
    <row r="74">
      <c r="A74" t="inlineStr">
        <is>
          <t>Antwon Kincade</t>
        </is>
      </c>
      <c r="C74" t="n">
        <v>2024</v>
      </c>
      <c r="D74" t="n">
        <v>12</v>
      </c>
      <c r="X74" t="n">
        <v>0</v>
      </c>
      <c r="Y74" t="n">
        <v>78</v>
      </c>
      <c r="Z74" t="n">
        <v>47</v>
      </c>
      <c r="AA74" t="n">
        <v>101.5</v>
      </c>
      <c r="AB74" t="n">
        <v>2</v>
      </c>
      <c r="AC74" t="n">
        <v>9.5</v>
      </c>
      <c r="AE74" t="n">
        <v>2</v>
      </c>
      <c r="AF74" t="n">
        <v>2</v>
      </c>
      <c r="AG74" t="n">
        <v>13</v>
      </c>
    </row>
    <row r="75">
      <c r="A75" t="inlineStr">
        <is>
          <t>Braxton Haley</t>
        </is>
      </c>
      <c r="C75" t="n">
        <v>2024</v>
      </c>
      <c r="D75" t="n">
        <v>1</v>
      </c>
      <c r="M75" t="n">
        <v>3</v>
      </c>
      <c r="N75" t="n">
        <v>36</v>
      </c>
      <c r="X75" t="n">
        <v>0</v>
      </c>
      <c r="Y75" t="n">
        <v>1</v>
      </c>
      <c r="AA75" t="n">
        <v>1</v>
      </c>
    </row>
    <row r="76">
      <c r="A76" t="inlineStr">
        <is>
          <t>Bryce Rogers</t>
        </is>
      </c>
      <c r="C76" t="n">
        <v>2024</v>
      </c>
      <c r="D76" t="n">
        <v>6</v>
      </c>
      <c r="X76" t="n">
        <v>0</v>
      </c>
      <c r="Y76" t="n">
        <v>6</v>
      </c>
      <c r="Z76" t="n">
        <v>6</v>
      </c>
      <c r="AA76" t="n">
        <v>9</v>
      </c>
      <c r="AG76" t="n">
        <v>2</v>
      </c>
      <c r="AH76" t="n">
        <v>1</v>
      </c>
    </row>
    <row r="77">
      <c r="A77" t="inlineStr">
        <is>
          <t>Dar Hungerford</t>
        </is>
      </c>
      <c r="C77" t="n">
        <v>2024</v>
      </c>
      <c r="D77" t="n">
        <v>9</v>
      </c>
      <c r="X77" t="n">
        <v>0</v>
      </c>
      <c r="Y77" t="n">
        <v>28</v>
      </c>
      <c r="Z77" t="n">
        <v>22</v>
      </c>
      <c r="AA77" t="n">
        <v>39</v>
      </c>
      <c r="AB77" t="n">
        <v>4.5</v>
      </c>
      <c r="AC77" t="n">
        <v>9</v>
      </c>
      <c r="AG77" t="n">
        <v>2</v>
      </c>
    </row>
    <row r="78">
      <c r="A78" t="inlineStr">
        <is>
          <t>Datona Jackson</t>
        </is>
      </c>
      <c r="C78" t="n">
        <v>2024</v>
      </c>
      <c r="D78" t="n">
        <v>15</v>
      </c>
      <c r="X78" t="n">
        <v>0</v>
      </c>
      <c r="Y78" t="n">
        <v>24</v>
      </c>
      <c r="Z78" t="n">
        <v>26</v>
      </c>
      <c r="AA78" t="n">
        <v>37</v>
      </c>
      <c r="AB78" t="n">
        <v>4.5</v>
      </c>
      <c r="AC78" t="n">
        <v>13</v>
      </c>
      <c r="AD78" t="n">
        <v>2</v>
      </c>
      <c r="AG78" t="n">
        <v>2</v>
      </c>
    </row>
    <row r="79">
      <c r="A79" t="inlineStr">
        <is>
          <t>Davius Prather</t>
        </is>
      </c>
      <c r="C79" t="n">
        <v>2024</v>
      </c>
      <c r="D79" t="n">
        <v>3</v>
      </c>
      <c r="M79" t="n">
        <v>1</v>
      </c>
      <c r="N79" t="n">
        <v>6</v>
      </c>
      <c r="P79" t="n">
        <v>7</v>
      </c>
      <c r="Q79" t="n">
        <v>111</v>
      </c>
      <c r="X79" t="n">
        <v>0</v>
      </c>
      <c r="Z79" t="n">
        <v>2</v>
      </c>
      <c r="AA79" t="n">
        <v>1</v>
      </c>
    </row>
    <row r="80">
      <c r="A80" t="inlineStr">
        <is>
          <t>Desmo Williams</t>
        </is>
      </c>
      <c r="C80" t="n">
        <v>2024</v>
      </c>
      <c r="D80" t="n">
        <v>8</v>
      </c>
      <c r="X80" t="n">
        <v>0</v>
      </c>
      <c r="Y80" t="n">
        <v>19</v>
      </c>
      <c r="Z80" t="n">
        <v>15</v>
      </c>
      <c r="AA80" t="n">
        <v>26.5</v>
      </c>
      <c r="AC80" t="n">
        <v>3</v>
      </c>
      <c r="AD80" t="n">
        <v>1</v>
      </c>
      <c r="AE80" t="n">
        <v>1</v>
      </c>
      <c r="AG80" t="n">
        <v>1</v>
      </c>
    </row>
    <row r="81">
      <c r="A81" t="inlineStr">
        <is>
          <t>EJ Ane</t>
        </is>
      </c>
      <c r="C81" t="n">
        <v>2024</v>
      </c>
      <c r="D81" t="n">
        <v>3</v>
      </c>
      <c r="X81" t="n">
        <v>0</v>
      </c>
      <c r="Y81" t="n">
        <v>2</v>
      </c>
      <c r="Z81" t="n">
        <v>1</v>
      </c>
      <c r="AA81" t="n">
        <v>2.5</v>
      </c>
      <c r="AB81" t="n">
        <v>1</v>
      </c>
      <c r="AC81" t="n">
        <v>1</v>
      </c>
    </row>
    <row r="82">
      <c r="A82" t="inlineStr">
        <is>
          <t>Joe Foucha</t>
        </is>
      </c>
      <c r="C82" t="n">
        <v>2024</v>
      </c>
      <c r="D82" t="n">
        <v>13</v>
      </c>
      <c r="P82" t="n">
        <v>5</v>
      </c>
      <c r="Q82" t="n">
        <v>66</v>
      </c>
      <c r="X82" t="n">
        <v>0</v>
      </c>
      <c r="Y82" t="n">
        <v>31</v>
      </c>
      <c r="Z82" t="n">
        <v>20</v>
      </c>
      <c r="AA82" t="n">
        <v>41</v>
      </c>
      <c r="AC82" t="n">
        <v>3</v>
      </c>
      <c r="AE82" t="n">
        <v>2</v>
      </c>
      <c r="AF82" t="n">
        <v>6</v>
      </c>
      <c r="AG82" t="n">
        <v>11</v>
      </c>
    </row>
    <row r="83">
      <c r="A83" t="inlineStr">
        <is>
          <t>Jonathan Ross</t>
        </is>
      </c>
      <c r="C83" t="n">
        <v>2024</v>
      </c>
      <c r="D83" t="n">
        <v>2</v>
      </c>
      <c r="X83" t="n">
        <v>0</v>
      </c>
      <c r="Y83" t="n">
        <v>7</v>
      </c>
      <c r="Z83" t="n">
        <v>4</v>
      </c>
      <c r="AA83" t="n">
        <v>9</v>
      </c>
      <c r="AC83" t="n">
        <v>4</v>
      </c>
      <c r="AG83" t="n">
        <v>2</v>
      </c>
    </row>
    <row r="84">
      <c r="A84" t="inlineStr">
        <is>
          <t>Ki Northington</t>
        </is>
      </c>
      <c r="C84" t="n">
        <v>2024</v>
      </c>
      <c r="D84" t="n">
        <v>5</v>
      </c>
      <c r="P84" t="n">
        <v>3</v>
      </c>
      <c r="Q84" t="n">
        <v>27</v>
      </c>
      <c r="X84" t="n">
        <v>0</v>
      </c>
      <c r="Y84" t="n">
        <v>10</v>
      </c>
      <c r="Z84" t="n">
        <v>5</v>
      </c>
      <c r="AA84" t="n">
        <v>12.5</v>
      </c>
      <c r="AG84" t="n">
        <v>5</v>
      </c>
    </row>
    <row r="85">
      <c r="A85" t="inlineStr">
        <is>
          <t>LaQuinst Sharp</t>
        </is>
      </c>
      <c r="C85" t="n">
        <v>2024</v>
      </c>
      <c r="D85" t="n">
        <v>13</v>
      </c>
      <c r="X85" t="n">
        <v>0</v>
      </c>
      <c r="Y85" t="n">
        <v>1</v>
      </c>
      <c r="AA85" t="n">
        <v>1</v>
      </c>
    </row>
    <row r="86">
      <c r="A86" t="inlineStr">
        <is>
          <t>Mana Bailey Sr</t>
        </is>
      </c>
      <c r="C86" t="n">
        <v>2024</v>
      </c>
      <c r="D86" t="n">
        <v>2</v>
      </c>
      <c r="P86" t="n">
        <v>3</v>
      </c>
      <c r="Q86" t="n">
        <v>46</v>
      </c>
      <c r="X86" t="n">
        <v>0</v>
      </c>
      <c r="Y86" t="n">
        <v>2</v>
      </c>
      <c r="Z86" t="n">
        <v>1</v>
      </c>
      <c r="AA86" t="n">
        <v>2.5</v>
      </c>
    </row>
    <row r="87">
      <c r="A87" t="inlineStr">
        <is>
          <t>Morr Joseph Jr</t>
        </is>
      </c>
      <c r="C87" t="n">
        <v>2024</v>
      </c>
      <c r="D87" t="n">
        <v>10</v>
      </c>
      <c r="X87" t="n">
        <v>0</v>
      </c>
      <c r="Y87" t="n">
        <v>13</v>
      </c>
      <c r="Z87" t="n">
        <v>15</v>
      </c>
      <c r="AA87" t="n">
        <v>20.5</v>
      </c>
      <c r="AB87" t="n">
        <v>4.5</v>
      </c>
      <c r="AC87" t="n">
        <v>6</v>
      </c>
      <c r="AD87" t="n">
        <v>1</v>
      </c>
      <c r="AG87" t="n">
        <v>2</v>
      </c>
    </row>
    <row r="88">
      <c r="A88" t="inlineStr">
        <is>
          <t>Suh Kamara</t>
        </is>
      </c>
      <c r="C88" t="n">
        <v>2024</v>
      </c>
      <c r="D88" t="n">
        <v>4</v>
      </c>
      <c r="X88" t="n">
        <v>0</v>
      </c>
      <c r="Y88" t="n">
        <v>1</v>
      </c>
      <c r="AA88" t="n">
        <v>1</v>
      </c>
      <c r="AC88" t="n">
        <v>1</v>
      </c>
    </row>
    <row r="89">
      <c r="A89" t="inlineStr">
        <is>
          <t>Terin Adams</t>
        </is>
      </c>
      <c r="C89" t="n">
        <v>2024</v>
      </c>
      <c r="D89" t="n">
        <v>2</v>
      </c>
      <c r="P89" t="n">
        <v>5</v>
      </c>
      <c r="Q89" t="n">
        <v>62</v>
      </c>
      <c r="X89" t="n">
        <v>0</v>
      </c>
      <c r="Y89" t="n">
        <v>3</v>
      </c>
      <c r="AA89" t="n">
        <v>3</v>
      </c>
      <c r="AG89" t="n">
        <v>1</v>
      </c>
    </row>
    <row r="90">
      <c r="A90" t="inlineStr">
        <is>
          <t>Tevaughn Grant</t>
        </is>
      </c>
      <c r="C90" t="n">
        <v>2024</v>
      </c>
      <c r="D90" t="n">
        <v>10</v>
      </c>
      <c r="X90" t="n">
        <v>0</v>
      </c>
      <c r="Y90" t="n">
        <v>20</v>
      </c>
      <c r="Z90" t="n">
        <v>11</v>
      </c>
      <c r="AA90" t="n">
        <v>25.5</v>
      </c>
      <c r="AB90" t="n">
        <v>3.5</v>
      </c>
      <c r="AC90" t="n">
        <v>6</v>
      </c>
      <c r="AG90" t="n">
        <v>1</v>
      </c>
      <c r="AH90" t="n">
        <v>1</v>
      </c>
    </row>
    <row r="91">
      <c r="A91" t="inlineStr">
        <is>
          <t>Ty Cromwell III</t>
        </is>
      </c>
      <c r="C91" t="n">
        <v>2024</v>
      </c>
      <c r="D91" t="n">
        <v>9</v>
      </c>
      <c r="X91" t="n">
        <v>0</v>
      </c>
      <c r="Y91" t="n">
        <v>24</v>
      </c>
      <c r="Z91" t="n">
        <v>16</v>
      </c>
      <c r="AA91" t="n">
        <v>32</v>
      </c>
      <c r="AC91" t="n">
        <v>0.5</v>
      </c>
      <c r="AD91" t="n">
        <v>1</v>
      </c>
      <c r="AF91" t="n">
        <v>3</v>
      </c>
      <c r="AG91" t="n">
        <v>5</v>
      </c>
    </row>
    <row r="92">
      <c r="A92" t="inlineStr">
        <is>
          <t>Wesley Bowers</t>
        </is>
      </c>
      <c r="C92" t="n">
        <v>2024</v>
      </c>
      <c r="D92" t="n">
        <v>3</v>
      </c>
      <c r="X92" t="n">
        <v>0</v>
      </c>
      <c r="Y92" t="n">
        <v>3</v>
      </c>
      <c r="Z92" t="n">
        <v>7</v>
      </c>
      <c r="AA92" t="n">
        <v>6.5</v>
      </c>
      <c r="AB92" t="n">
        <v>1</v>
      </c>
      <c r="AC92" t="n">
        <v>1.5</v>
      </c>
      <c r="AG92" t="n">
        <v>1</v>
      </c>
    </row>
    <row r="93">
      <c r="A93" t="inlineStr">
        <is>
          <t>William Atkins</t>
        </is>
      </c>
      <c r="C93" t="n">
        <v>2024</v>
      </c>
      <c r="D93" t="n">
        <v>11</v>
      </c>
      <c r="X93" t="n">
        <v>0</v>
      </c>
      <c r="Y93" t="n">
        <v>26</v>
      </c>
      <c r="Z93" t="n">
        <v>19</v>
      </c>
      <c r="AA93" t="n">
        <v>35.5</v>
      </c>
      <c r="AC93" t="n">
        <v>2.5</v>
      </c>
      <c r="AG93" t="n">
        <v>7</v>
      </c>
    </row>
    <row r="94">
      <c r="A94" t="inlineStr">
        <is>
          <t>Zach Zacher</t>
        </is>
      </c>
      <c r="C94" t="n">
        <v>2024</v>
      </c>
      <c r="D94" t="n">
        <v>6</v>
      </c>
      <c r="X94" t="n">
        <v>0</v>
      </c>
      <c r="Z94" t="n">
        <v>1</v>
      </c>
      <c r="AA94" t="n">
        <v>0.5</v>
      </c>
    </row>
    <row r="95">
      <c r="A95" t="inlineStr">
        <is>
          <t>Anthony Grant</t>
        </is>
      </c>
      <c r="B95" t="inlineStr">
        <is>
          <t>RB</t>
        </is>
      </c>
      <c r="C95" t="n">
        <v>2025</v>
      </c>
      <c r="D95" t="n">
        <v>2</v>
      </c>
      <c r="X95" t="n">
        <v>0</v>
      </c>
      <c r="Y95" t="n">
        <v>2</v>
      </c>
      <c r="Z95" t="n">
        <v>8</v>
      </c>
      <c r="AA95" t="n">
        <v>10</v>
      </c>
      <c r="AC95" t="n">
        <v>1.5</v>
      </c>
      <c r="AG95" t="n">
        <v>1</v>
      </c>
    </row>
    <row r="96">
      <c r="A96" t="inlineStr">
        <is>
          <t>BJ Taufalele</t>
        </is>
      </c>
      <c r="B96" t="inlineStr">
        <is>
          <t>DL</t>
        </is>
      </c>
      <c r="C96" t="n">
        <v>2025</v>
      </c>
      <c r="D96" t="n">
        <v>13</v>
      </c>
      <c r="X96" t="n">
        <v>0</v>
      </c>
      <c r="Y96" t="n">
        <v>26</v>
      </c>
      <c r="Z96" t="n">
        <v>43</v>
      </c>
      <c r="AA96" t="n">
        <v>69</v>
      </c>
      <c r="AB96" t="n">
        <v>1.5</v>
      </c>
      <c r="AC96" t="n">
        <v>3.5</v>
      </c>
      <c r="AD96" t="n">
        <v>1</v>
      </c>
      <c r="AF96" t="n">
        <v>2</v>
      </c>
      <c r="AG96" t="n">
        <v>2</v>
      </c>
    </row>
    <row r="97">
      <c r="A97" t="inlineStr">
        <is>
          <t>Christian Coulter</t>
        </is>
      </c>
      <c r="B97" t="inlineStr">
        <is>
          <t>OL</t>
        </is>
      </c>
      <c r="C97" t="n">
        <v>2025</v>
      </c>
      <c r="D97" t="n">
        <v>2</v>
      </c>
      <c r="X97" t="n">
        <v>0</v>
      </c>
      <c r="Y97" t="n">
        <v>2</v>
      </c>
      <c r="AA97" t="n">
        <v>2</v>
      </c>
    </row>
    <row r="98">
      <c r="A98" t="inlineStr">
        <is>
          <t>Daymond Williams</t>
        </is>
      </c>
      <c r="B98" t="inlineStr">
        <is>
          <t>DL</t>
        </is>
      </c>
      <c r="C98" t="n">
        <v>2025</v>
      </c>
      <c r="D98" t="n">
        <v>1</v>
      </c>
      <c r="X98" t="n">
        <v>0</v>
      </c>
      <c r="Z98" t="n">
        <v>1</v>
      </c>
      <c r="AA98" t="n">
        <v>1</v>
      </c>
    </row>
    <row r="99">
      <c r="A99" t="inlineStr">
        <is>
          <t>EJ Ane</t>
        </is>
      </c>
      <c r="B99" t="inlineStr">
        <is>
          <t>DL</t>
        </is>
      </c>
      <c r="C99" t="n">
        <v>2025</v>
      </c>
      <c r="D99" t="n">
        <v>5</v>
      </c>
      <c r="X99" t="n">
        <v>0</v>
      </c>
      <c r="Y99" t="n">
        <v>1</v>
      </c>
      <c r="Z99" t="n">
        <v>6</v>
      </c>
      <c r="AA99" t="n">
        <v>7</v>
      </c>
      <c r="AB99" t="n">
        <v>1.5</v>
      </c>
      <c r="AC99" t="n">
        <v>2</v>
      </c>
    </row>
    <row r="100">
      <c r="A100" t="inlineStr">
        <is>
          <t>Fernando Oliverez-Quintero</t>
        </is>
      </c>
      <c r="B100" t="inlineStr">
        <is>
          <t>WR</t>
        </is>
      </c>
      <c r="C100" t="n">
        <v>2025</v>
      </c>
      <c r="D100" t="n">
        <v>2</v>
      </c>
      <c r="M100" t="n">
        <v>3</v>
      </c>
      <c r="N100" t="n">
        <v>22</v>
      </c>
      <c r="X100" t="n">
        <v>0</v>
      </c>
      <c r="Y100" t="n">
        <v>1</v>
      </c>
      <c r="Z100" t="n">
        <v>2</v>
      </c>
      <c r="AA100" t="n">
        <v>3</v>
      </c>
    </row>
    <row r="101">
      <c r="A101" t="inlineStr">
        <is>
          <t>Franky West</t>
        </is>
      </c>
      <c r="B101" t="inlineStr">
        <is>
          <t>DB</t>
        </is>
      </c>
      <c r="C101" t="n">
        <v>2025</v>
      </c>
      <c r="D101" t="n">
        <v>11</v>
      </c>
      <c r="X101" t="n">
        <v>0</v>
      </c>
      <c r="Y101" t="n">
        <v>17</v>
      </c>
      <c r="Z101" t="n">
        <v>16</v>
      </c>
      <c r="AA101" t="n">
        <v>33</v>
      </c>
      <c r="AE101" t="n">
        <v>3</v>
      </c>
      <c r="AG101" t="n">
        <v>3</v>
      </c>
    </row>
    <row r="102">
      <c r="A102" t="inlineStr">
        <is>
          <t>Joe Foucha</t>
        </is>
      </c>
      <c r="B102" t="inlineStr">
        <is>
          <t>DB</t>
        </is>
      </c>
      <c r="C102" t="n">
        <v>2025</v>
      </c>
      <c r="D102" t="n">
        <v>12</v>
      </c>
      <c r="P102" t="n">
        <v>8</v>
      </c>
      <c r="Q102" t="n">
        <v>74</v>
      </c>
      <c r="X102" t="n">
        <v>0</v>
      </c>
      <c r="Y102" t="n">
        <v>36</v>
      </c>
      <c r="Z102" t="n">
        <v>14</v>
      </c>
      <c r="AA102" t="n">
        <v>50</v>
      </c>
      <c r="AC102" t="n">
        <v>2</v>
      </c>
      <c r="AF102" t="n">
        <v>4</v>
      </c>
      <c r="AG102" t="n">
        <v>10</v>
      </c>
    </row>
    <row r="103">
      <c r="A103" t="inlineStr">
        <is>
          <t>Jonathan Ross</t>
        </is>
      </c>
      <c r="B103" t="inlineStr">
        <is>
          <t>DL</t>
        </is>
      </c>
      <c r="C103" t="n">
        <v>2025</v>
      </c>
      <c r="D103" t="n">
        <v>13</v>
      </c>
      <c r="X103" t="n">
        <v>0</v>
      </c>
      <c r="Y103" t="n">
        <v>35</v>
      </c>
      <c r="Z103" t="n">
        <v>47</v>
      </c>
      <c r="AA103" t="n">
        <v>82</v>
      </c>
      <c r="AB103" t="n">
        <v>3.5</v>
      </c>
      <c r="AC103" t="n">
        <v>15.5</v>
      </c>
      <c r="AD103" t="n">
        <v>1</v>
      </c>
      <c r="AF103" t="n">
        <v>1</v>
      </c>
      <c r="AG103" t="n">
        <v>1</v>
      </c>
    </row>
    <row r="104">
      <c r="A104" t="inlineStr">
        <is>
          <t>Landry Mavungu</t>
        </is>
      </c>
      <c r="B104" t="inlineStr">
        <is>
          <t>DB</t>
        </is>
      </c>
      <c r="C104" t="n">
        <v>2025</v>
      </c>
      <c r="D104" t="n">
        <v>7</v>
      </c>
      <c r="P104" t="n">
        <v>2</v>
      </c>
      <c r="Q104" t="n">
        <v>-2</v>
      </c>
      <c r="X104" t="n">
        <v>0</v>
      </c>
      <c r="Y104" t="n">
        <v>13</v>
      </c>
      <c r="Z104" t="n">
        <v>13</v>
      </c>
      <c r="AA104" t="n">
        <v>26</v>
      </c>
      <c r="AC104" t="n">
        <v>0.5</v>
      </c>
      <c r="AG104" t="n">
        <v>1</v>
      </c>
    </row>
    <row r="105">
      <c r="A105" t="inlineStr">
        <is>
          <t>Markus Smith</t>
        </is>
      </c>
      <c r="B105" t="inlineStr">
        <is>
          <t>DB</t>
        </is>
      </c>
      <c r="C105" t="n">
        <v>2025</v>
      </c>
      <c r="D105" t="n">
        <v>1</v>
      </c>
      <c r="X105" t="n">
        <v>0</v>
      </c>
      <c r="Y105" t="n">
        <v>2</v>
      </c>
      <c r="Z105" t="n">
        <v>1</v>
      </c>
      <c r="AA105" t="n">
        <v>3</v>
      </c>
    </row>
    <row r="106">
      <c r="A106" t="inlineStr">
        <is>
          <t>Morris Joseph</t>
        </is>
      </c>
      <c r="B106" t="inlineStr">
        <is>
          <t>DL</t>
        </is>
      </c>
      <c r="C106" t="n">
        <v>2025</v>
      </c>
      <c r="D106" t="n">
        <v>11</v>
      </c>
      <c r="X106" t="n">
        <v>0</v>
      </c>
      <c r="Y106" t="n">
        <v>11</v>
      </c>
      <c r="Z106" t="n">
        <v>36</v>
      </c>
      <c r="AA106" t="n">
        <v>47</v>
      </c>
      <c r="AB106" t="n">
        <v>4</v>
      </c>
      <c r="AC106" t="n">
        <v>6</v>
      </c>
      <c r="AE106" t="n">
        <v>1</v>
      </c>
      <c r="AF106" t="n">
        <v>1</v>
      </c>
      <c r="AG106" t="n">
        <v>1</v>
      </c>
      <c r="AH106" t="n">
        <v>1</v>
      </c>
    </row>
    <row r="107">
      <c r="A107" t="inlineStr">
        <is>
          <t>Shamar Moreland</t>
        </is>
      </c>
      <c r="B107" t="inlineStr">
        <is>
          <t>DB</t>
        </is>
      </c>
      <c r="C107" t="n">
        <v>2025</v>
      </c>
      <c r="D107" t="n">
        <v>1</v>
      </c>
      <c r="J107" t="n">
        <v>1</v>
      </c>
      <c r="K107" t="n">
        <v>2</v>
      </c>
      <c r="M107" t="n">
        <v>1</v>
      </c>
      <c r="N107" t="n">
        <v>2</v>
      </c>
      <c r="X107" t="n">
        <v>0</v>
      </c>
      <c r="Y107" t="n">
        <v>1</v>
      </c>
      <c r="Z107" t="n">
        <v>1</v>
      </c>
      <c r="AA107" t="n">
        <v>2</v>
      </c>
    </row>
    <row r="108">
      <c r="A108" t="inlineStr">
        <is>
          <t>Tevaughn Grant</t>
        </is>
      </c>
      <c r="B108" t="inlineStr">
        <is>
          <t>DL</t>
        </is>
      </c>
      <c r="C108" t="n">
        <v>2025</v>
      </c>
      <c r="D108" t="n">
        <v>10</v>
      </c>
      <c r="X108" t="n">
        <v>0</v>
      </c>
      <c r="Y108" t="n">
        <v>17</v>
      </c>
      <c r="Z108" t="n">
        <v>34</v>
      </c>
      <c r="AA108" t="n">
        <v>51</v>
      </c>
      <c r="AB108" t="n">
        <v>3.5</v>
      </c>
      <c r="AC108" t="n">
        <v>11</v>
      </c>
      <c r="AD108" t="n">
        <v>1</v>
      </c>
      <c r="AF108" t="n">
        <v>1</v>
      </c>
    </row>
    <row r="109">
      <c r="A109" t="inlineStr">
        <is>
          <t>Trae Meadows</t>
        </is>
      </c>
      <c r="B109" t="inlineStr">
        <is>
          <t>DB</t>
        </is>
      </c>
      <c r="C109" t="n">
        <v>2025</v>
      </c>
      <c r="D109" t="n">
        <v>14</v>
      </c>
      <c r="P109" t="n">
        <v>2</v>
      </c>
      <c r="X109" t="n">
        <v>0</v>
      </c>
      <c r="Y109" t="n">
        <v>46</v>
      </c>
      <c r="Z109" t="n">
        <v>44</v>
      </c>
      <c r="AA109" t="n">
        <v>90</v>
      </c>
      <c r="AC109" t="n">
        <v>3.5</v>
      </c>
      <c r="AD109" t="n">
        <v>2</v>
      </c>
      <c r="AF109" t="n">
        <v>5</v>
      </c>
      <c r="AG109" t="n">
        <v>11</v>
      </c>
    </row>
    <row r="110">
      <c r="A110" t="inlineStr">
        <is>
          <t>Tyler Watson</t>
        </is>
      </c>
      <c r="B110" t="inlineStr">
        <is>
          <t>DB</t>
        </is>
      </c>
      <c r="C110" t="n">
        <v>2025</v>
      </c>
      <c r="D110" t="n">
        <v>9</v>
      </c>
      <c r="P110" t="n">
        <v>1</v>
      </c>
      <c r="X110" t="n">
        <v>0</v>
      </c>
      <c r="Y110" t="n">
        <v>29</v>
      </c>
      <c r="Z110" t="n">
        <v>24</v>
      </c>
      <c r="AA110" t="n">
        <v>53</v>
      </c>
      <c r="AD110" t="n">
        <v>1</v>
      </c>
      <c r="AF110" t="n">
        <v>5</v>
      </c>
      <c r="AG110" t="n">
        <v>10</v>
      </c>
    </row>
    <row r="111">
      <c r="A111" t="inlineStr">
        <is>
          <t>Tyrese Wright</t>
        </is>
      </c>
      <c r="B111" t="inlineStr">
        <is>
          <t>DB</t>
        </is>
      </c>
      <c r="C111" t="n">
        <v>2025</v>
      </c>
      <c r="D111" t="n">
        <v>14</v>
      </c>
      <c r="X111" t="n">
        <v>0</v>
      </c>
      <c r="Y111" t="n">
        <v>43</v>
      </c>
      <c r="Z111" t="n">
        <v>59</v>
      </c>
      <c r="AA111" t="n">
        <v>102</v>
      </c>
      <c r="AC111" t="n">
        <v>6</v>
      </c>
      <c r="AE111" t="n">
        <v>2</v>
      </c>
      <c r="AF111" t="n">
        <v>2</v>
      </c>
      <c r="AG111" t="n">
        <v>2</v>
      </c>
    </row>
    <row r="112">
      <c r="A112" t="inlineStr">
        <is>
          <t>Wesley Bowers</t>
        </is>
      </c>
      <c r="B112" t="inlineStr">
        <is>
          <t>LB</t>
        </is>
      </c>
      <c r="C112" t="n">
        <v>2025</v>
      </c>
      <c r="D112" t="n">
        <v>4</v>
      </c>
      <c r="X112" t="n">
        <v>0</v>
      </c>
      <c r="Y112" t="n">
        <v>13</v>
      </c>
      <c r="Z112" t="n">
        <v>19</v>
      </c>
      <c r="AA112" t="n">
        <v>32</v>
      </c>
      <c r="AB112" t="n">
        <v>1</v>
      </c>
      <c r="AC112" t="n">
        <v>3.5</v>
      </c>
      <c r="AD112" t="n">
        <v>1</v>
      </c>
    </row>
    <row r="113">
      <c r="A113" t="inlineStr">
        <is>
          <t>William Martin</t>
        </is>
      </c>
      <c r="B113" t="inlineStr">
        <is>
          <t>DL</t>
        </is>
      </c>
      <c r="C113" t="n">
        <v>2025</v>
      </c>
      <c r="D113" t="n">
        <v>4</v>
      </c>
      <c r="X113" t="n">
        <v>0</v>
      </c>
      <c r="Y113" t="n">
        <v>2</v>
      </c>
      <c r="Z113" t="n">
        <v>6</v>
      </c>
      <c r="AA113" t="n">
        <v>8</v>
      </c>
      <c r="AC113" t="n">
        <v>1</v>
      </c>
    </row>
    <row r="114">
      <c r="A114" t="inlineStr">
        <is>
          <t>Jamarkus Means</t>
        </is>
      </c>
      <c r="C114" t="n">
        <v>2023</v>
      </c>
      <c r="D114" t="n">
        <v>9</v>
      </c>
      <c r="Z114" t="n">
        <v>1</v>
      </c>
      <c r="AA114" t="n">
        <v>0.5</v>
      </c>
    </row>
  </sheetData>
  <hyperlinks>
    <hyperlink xmlns:r="http://schemas.openxmlformats.org/officeDocument/2006/relationships" ref="H1" r:id="rId1"/>
    <hyperlink xmlns:r="http://schemas.openxmlformats.org/officeDocument/2006/relationships" ref="I1" r:id="rId2"/>
    <hyperlink xmlns:r="http://schemas.openxmlformats.org/officeDocument/2006/relationships" ref="L1" r:id="rId3"/>
    <hyperlink xmlns:r="http://schemas.openxmlformats.org/officeDocument/2006/relationships" ref="O1" r:id="rId4"/>
    <hyperlink xmlns:r="http://schemas.openxmlformats.org/officeDocument/2006/relationships" ref="R1" r:id="rId5"/>
    <hyperlink xmlns:r="http://schemas.openxmlformats.org/officeDocument/2006/relationships" ref="AF1" r:id="rId6"/>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S1000"/>
  <sheetViews>
    <sheetView workbookViewId="0">
      <pane ySplit="1" topLeftCell="A2" activePane="bottomLeft" state="frozen"/>
      <selection pane="bottomLeft" activeCell="B3" sqref="B3"/>
    </sheetView>
  </sheetViews>
  <sheetFormatPr baseColWidth="8" defaultColWidth="12.63" defaultRowHeight="15.75" customHeight="1"/>
  <cols>
    <col width="25.25" customWidth="1" style="22" min="2" max="3"/>
    <col width="14.88" customWidth="1" style="22" min="4" max="4"/>
    <col width="14.25" customWidth="1" style="22" min="5" max="5"/>
    <col width="24.88" customWidth="1" style="22" min="7" max="7"/>
  </cols>
  <sheetData>
    <row r="1">
      <c r="A1" s="1" t="inlineStr">
        <is>
          <t>Date</t>
        </is>
      </c>
      <c r="B1" s="21" t="inlineStr">
        <is>
          <t>Home Team</t>
        </is>
      </c>
      <c r="C1" s="21" t="inlineStr">
        <is>
          <t>Away Team</t>
        </is>
      </c>
      <c r="D1" s="5" t="inlineStr">
        <is>
          <t>Week</t>
        </is>
      </c>
      <c r="E1" s="21" t="inlineStr">
        <is>
          <t>Day of the Week</t>
        </is>
      </c>
      <c r="F1" s="21" t="inlineStr">
        <is>
          <t>League</t>
        </is>
      </c>
      <c r="G1" s="5" t="inlineStr">
        <is>
          <t>Matchup</t>
        </is>
      </c>
      <c r="H1" s="6" t="inlineStr">
        <is>
          <t>W/L, Score</t>
        </is>
      </c>
      <c r="I1" s="21" t="inlineStr">
        <is>
          <t>Theme</t>
        </is>
      </c>
      <c r="J1" s="21" t="n"/>
      <c r="K1" s="8" t="n"/>
      <c r="L1" s="8" t="n"/>
      <c r="M1" s="8" t="n"/>
      <c r="N1" s="5" t="n"/>
      <c r="O1" s="5" t="n"/>
      <c r="P1" s="8" t="n"/>
      <c r="Q1" s="8" t="n"/>
      <c r="R1" s="8" t="n"/>
      <c r="S1" s="8" t="n"/>
    </row>
    <row r="2">
      <c r="A2" s="1" t="n">
        <v>44641</v>
      </c>
      <c r="B2" s="21" t="inlineStr">
        <is>
          <t>Bay Area Panthers</t>
        </is>
      </c>
      <c r="C2" s="21" t="inlineStr">
        <is>
          <t>San Diego Strike Force</t>
        </is>
      </c>
      <c r="D2" s="5" t="inlineStr">
        <is>
          <t>Week 2</t>
        </is>
      </c>
      <c r="E2" s="12" t="inlineStr">
        <is>
          <t>Monday</t>
        </is>
      </c>
      <c r="F2" s="21" t="inlineStr">
        <is>
          <t>IFL</t>
        </is>
      </c>
      <c r="G2" s="12">
        <f>IF(B2="Bay Area Panthers","vs "&amp;C2,IF(C2="Bay Area Panthers","@ "&amp;B2,""))</f>
        <v/>
      </c>
      <c r="H2" s="17" t="inlineStr">
        <is>
          <t>W, 38-33</t>
        </is>
      </c>
      <c r="I2" s="21" t="n"/>
      <c r="J2" s="21" t="n"/>
      <c r="K2" s="21" t="n"/>
      <c r="N2" s="5" t="n"/>
      <c r="O2" s="5" t="n"/>
      <c r="P2" s="8" t="n"/>
      <c r="Q2" s="21" t="n"/>
      <c r="R2" s="21" t="n"/>
      <c r="S2" s="21" t="n"/>
    </row>
    <row r="3">
      <c r="A3" s="1" t="n">
        <v>44646</v>
      </c>
      <c r="B3" s="21" t="inlineStr">
        <is>
          <t>Northern Arizona Wranglers</t>
        </is>
      </c>
      <c r="C3" s="21" t="inlineStr">
        <is>
          <t>Bay Area Panthers</t>
        </is>
      </c>
      <c r="D3" s="5" t="inlineStr">
        <is>
          <t>Week 3</t>
        </is>
      </c>
      <c r="E3" s="12" t="inlineStr">
        <is>
          <t>Saturday</t>
        </is>
      </c>
      <c r="F3" s="21" t="inlineStr">
        <is>
          <t>IFL</t>
        </is>
      </c>
      <c r="G3" s="12">
        <f>IF(B3="Bay Area Panthers","vs "&amp;C3,IF(C3="Bay Area Panthers","@ "&amp;B3,""))</f>
        <v/>
      </c>
      <c r="H3" s="17" t="inlineStr">
        <is>
          <t>L, 20-49</t>
        </is>
      </c>
      <c r="I3" s="21" t="n"/>
      <c r="J3" s="21" t="n"/>
      <c r="K3" s="21" t="n"/>
      <c r="N3" s="5" t="n"/>
      <c r="O3" s="5" t="n"/>
      <c r="P3" s="8" t="n"/>
      <c r="Q3" s="21" t="n"/>
      <c r="R3" s="21" t="n"/>
      <c r="S3" s="21" t="n"/>
    </row>
    <row r="4">
      <c r="A4" s="1" t="n">
        <v>44655</v>
      </c>
      <c r="B4" s="21" t="inlineStr">
        <is>
          <t>Bay Area Panthers</t>
        </is>
      </c>
      <c r="C4" s="21" t="inlineStr">
        <is>
          <t>Vegas Knight Hawks</t>
        </is>
      </c>
      <c r="D4" s="5" t="inlineStr">
        <is>
          <t>Week 4</t>
        </is>
      </c>
      <c r="E4" s="12" t="inlineStr">
        <is>
          <t>Monday</t>
        </is>
      </c>
      <c r="F4" s="21" t="inlineStr">
        <is>
          <t>IFL</t>
        </is>
      </c>
      <c r="G4" s="12">
        <f>IF(B4="Bay Area Panthers","vs "&amp;C4,IF(C4="Bay Area Panthers","@ "&amp;B4,""))</f>
        <v/>
      </c>
      <c r="H4" s="17" t="inlineStr">
        <is>
          <t>L, 27-53</t>
        </is>
      </c>
      <c r="I4" s="21" t="n"/>
      <c r="J4" s="21" t="n"/>
      <c r="K4" s="21" t="n"/>
      <c r="N4" s="5" t="n"/>
      <c r="O4" s="5" t="n"/>
      <c r="P4" s="8" t="n"/>
      <c r="Q4" s="21" t="n"/>
      <c r="R4" s="21" t="n"/>
      <c r="S4" s="21" t="n"/>
    </row>
    <row r="5">
      <c r="A5" s="1" t="n">
        <v>44660</v>
      </c>
      <c r="B5" s="21" t="inlineStr">
        <is>
          <t>Duke City Gladiators</t>
        </is>
      </c>
      <c r="C5" s="21" t="inlineStr">
        <is>
          <t>Bay Area Panthers</t>
        </is>
      </c>
      <c r="D5" s="5" t="inlineStr">
        <is>
          <t>Week 5</t>
        </is>
      </c>
      <c r="E5" s="12" t="inlineStr">
        <is>
          <t>Saturday</t>
        </is>
      </c>
      <c r="F5" s="21" t="inlineStr">
        <is>
          <t>IFL</t>
        </is>
      </c>
      <c r="G5" s="12">
        <f>IF(B5="Bay Area Panthers","vs "&amp;C5,IF(C5="Bay Area Panthers","@ "&amp;B5,""))</f>
        <v/>
      </c>
      <c r="H5" s="17" t="inlineStr">
        <is>
          <t>L, 28-50</t>
        </is>
      </c>
      <c r="I5" s="21" t="n"/>
      <c r="J5" s="21" t="n"/>
      <c r="K5" s="21" t="n"/>
      <c r="N5" s="8" t="n"/>
      <c r="O5" s="5" t="n"/>
      <c r="P5" s="8" t="n"/>
      <c r="Q5" s="21" t="n"/>
      <c r="R5" s="21" t="n"/>
      <c r="S5" s="21" t="n"/>
    </row>
    <row r="6">
      <c r="A6" s="1" t="n">
        <v>44669</v>
      </c>
      <c r="B6" s="21" t="inlineStr">
        <is>
          <t>Bay Area Panthers</t>
        </is>
      </c>
      <c r="C6" s="21" t="inlineStr">
        <is>
          <t>Bismarck Bucks</t>
        </is>
      </c>
      <c r="D6" s="5" t="inlineStr">
        <is>
          <t>Week 6</t>
        </is>
      </c>
      <c r="E6" s="12" t="inlineStr">
        <is>
          <t>Monday</t>
        </is>
      </c>
      <c r="F6" s="21" t="inlineStr">
        <is>
          <t>IFL</t>
        </is>
      </c>
      <c r="G6" s="12">
        <f>IF(B6="Bay Area Panthers","vs "&amp;C6,IF(C6="Bay Area Panthers","@ "&amp;B6,""))</f>
        <v/>
      </c>
      <c r="H6" s="17" t="inlineStr">
        <is>
          <t>L, 46-76</t>
        </is>
      </c>
      <c r="I6" s="21" t="n"/>
      <c r="J6" s="21" t="n"/>
      <c r="K6" s="21" t="n"/>
      <c r="N6" s="5" t="n"/>
      <c r="O6" s="5" t="n"/>
      <c r="P6" s="8" t="n"/>
      <c r="Q6" s="21" t="n"/>
      <c r="R6" s="21" t="n"/>
      <c r="S6" s="21" t="n"/>
    </row>
    <row r="7">
      <c r="A7" s="1" t="n">
        <v>44673</v>
      </c>
      <c r="B7" s="21" t="inlineStr">
        <is>
          <t>Sioux Falls Storm</t>
        </is>
      </c>
      <c r="C7" s="21" t="inlineStr">
        <is>
          <t>Bay Area Panthers</t>
        </is>
      </c>
      <c r="D7" s="5" t="inlineStr">
        <is>
          <t>Week 7</t>
        </is>
      </c>
      <c r="E7" s="12" t="inlineStr">
        <is>
          <t>Friday</t>
        </is>
      </c>
      <c r="F7" s="21" t="inlineStr">
        <is>
          <t>IFL</t>
        </is>
      </c>
      <c r="G7" s="12">
        <f>IF(B7="Bay Area Panthers","vs "&amp;C7,IF(C7="Bay Area Panthers","@ "&amp;B7,""))</f>
        <v/>
      </c>
      <c r="H7" s="17" t="inlineStr">
        <is>
          <t>L, 27-49</t>
        </is>
      </c>
      <c r="I7" s="21" t="n"/>
      <c r="J7" s="21" t="n"/>
      <c r="K7" s="21" t="n"/>
      <c r="N7" s="5" t="n"/>
      <c r="O7" s="5" t="n"/>
      <c r="P7" s="8" t="n"/>
      <c r="Q7" s="21" t="n"/>
      <c r="R7" s="21" t="n"/>
      <c r="S7" s="21" t="n"/>
    </row>
    <row r="8">
      <c r="A8" s="1" t="n">
        <v>44682</v>
      </c>
      <c r="B8" s="21" t="inlineStr">
        <is>
          <t>Bay Area Panthers</t>
        </is>
      </c>
      <c r="C8" s="21" t="inlineStr">
        <is>
          <t>Northern Arizona Wranglers</t>
        </is>
      </c>
      <c r="D8" s="5" t="inlineStr">
        <is>
          <t>Week 8</t>
        </is>
      </c>
      <c r="E8" s="12" t="inlineStr">
        <is>
          <t>Sunday</t>
        </is>
      </c>
      <c r="F8" s="21" t="inlineStr">
        <is>
          <t>IFL</t>
        </is>
      </c>
      <c r="G8" s="12">
        <f>IF(B8="Bay Area Panthers","vs "&amp;C8,IF(C8="Bay Area Panthers","@ "&amp;B8,""))</f>
        <v/>
      </c>
      <c r="H8" s="17" t="inlineStr">
        <is>
          <t>L, 34-65</t>
        </is>
      </c>
      <c r="I8" s="21" t="n"/>
      <c r="J8" s="21" t="n"/>
      <c r="K8" s="21" t="n"/>
      <c r="N8" s="5" t="n"/>
      <c r="O8" s="5" t="n"/>
      <c r="P8" s="8" t="n"/>
      <c r="Q8" s="21" t="n"/>
      <c r="R8" s="21" t="n"/>
      <c r="S8" s="21" t="n"/>
    </row>
    <row r="9">
      <c r="A9" s="1" t="n">
        <v>44688</v>
      </c>
      <c r="B9" s="21" t="inlineStr">
        <is>
          <t>Bay Area Panthers</t>
        </is>
      </c>
      <c r="C9" s="21" t="inlineStr">
        <is>
          <t>Duke City Gladiators</t>
        </is>
      </c>
      <c r="D9" s="5" t="inlineStr">
        <is>
          <t>Week 9</t>
        </is>
      </c>
      <c r="E9" s="12" t="inlineStr">
        <is>
          <t>Saturday</t>
        </is>
      </c>
      <c r="F9" s="21" t="inlineStr">
        <is>
          <t>IFL</t>
        </is>
      </c>
      <c r="G9" s="12">
        <f>IF(B9="Bay Area Panthers","vs "&amp;C9,IF(C9="Bay Area Panthers","@ "&amp;B9,""))</f>
        <v/>
      </c>
      <c r="H9" s="17" t="inlineStr">
        <is>
          <t>L, 20-43</t>
        </is>
      </c>
      <c r="I9" s="21" t="n"/>
      <c r="J9" s="21" t="n"/>
      <c r="K9" s="21" t="n"/>
      <c r="N9" s="5" t="n"/>
      <c r="O9" s="8" t="n"/>
      <c r="P9" s="8" t="n"/>
      <c r="Q9" s="21" t="n"/>
      <c r="R9" s="21" t="n"/>
      <c r="S9" s="21" t="n"/>
    </row>
    <row r="10">
      <c r="A10" s="1" t="n">
        <v>44702</v>
      </c>
      <c r="B10" s="21" t="inlineStr">
        <is>
          <t>Northern Arizona Wranglers</t>
        </is>
      </c>
      <c r="C10" s="21" t="inlineStr">
        <is>
          <t>Bay Area Panthers</t>
        </is>
      </c>
      <c r="D10" s="5" t="inlineStr">
        <is>
          <t>Week 11</t>
        </is>
      </c>
      <c r="E10" s="12" t="inlineStr">
        <is>
          <t>Saturday</t>
        </is>
      </c>
      <c r="F10" s="21" t="inlineStr">
        <is>
          <t>IFL</t>
        </is>
      </c>
      <c r="G10" s="12">
        <f>IF(B10="Bay Area Panthers","vs "&amp;C10,IF(C10="Bay Area Panthers","@ "&amp;B10,""))</f>
        <v/>
      </c>
      <c r="H10" s="17" t="inlineStr">
        <is>
          <t>L, 27-52</t>
        </is>
      </c>
      <c r="I10" s="21" t="n"/>
      <c r="J10" s="21" t="n"/>
      <c r="K10" s="21" t="n"/>
      <c r="N10" s="5" t="n"/>
      <c r="O10" s="5" t="n"/>
      <c r="P10" s="8" t="n"/>
      <c r="Q10" s="21" t="n"/>
      <c r="R10" s="21" t="n"/>
      <c r="S10" s="21" t="n"/>
    </row>
    <row r="11">
      <c r="A11" s="1" t="n">
        <v>44710</v>
      </c>
      <c r="B11" s="21" t="inlineStr">
        <is>
          <t>Arizona Rattlers</t>
        </is>
      </c>
      <c r="C11" s="21" t="inlineStr">
        <is>
          <t>Bay Area Panthers</t>
        </is>
      </c>
      <c r="D11" s="5" t="inlineStr">
        <is>
          <t>Week 12</t>
        </is>
      </c>
      <c r="E11" s="12" t="inlineStr">
        <is>
          <t>Sunday</t>
        </is>
      </c>
      <c r="F11" s="21" t="inlineStr">
        <is>
          <t>IFL</t>
        </is>
      </c>
      <c r="G11" s="12">
        <f>IF(B11="Bay Area Panthers","vs "&amp;C11,IF(C11="Bay Area Panthers","@ "&amp;B11,""))</f>
        <v/>
      </c>
      <c r="H11" s="17" t="inlineStr">
        <is>
          <t>L, 23-38</t>
        </is>
      </c>
      <c r="I11" s="21" t="n"/>
      <c r="J11" s="21" t="n"/>
      <c r="K11" s="21" t="n"/>
      <c r="N11" s="5" t="n"/>
      <c r="O11" s="5" t="n"/>
      <c r="P11" s="8" t="n"/>
      <c r="Q11" s="21" t="n"/>
      <c r="R11" s="21" t="n"/>
      <c r="S11" s="21" t="n"/>
    </row>
    <row r="12">
      <c r="A12" s="1" t="n">
        <v>44716</v>
      </c>
      <c r="B12" s="21" t="inlineStr">
        <is>
          <t>Bay Area Panthers</t>
        </is>
      </c>
      <c r="C12" s="21" t="inlineStr">
        <is>
          <t>Arizona Rattlers</t>
        </is>
      </c>
      <c r="D12" s="5" t="inlineStr">
        <is>
          <t>Week 13</t>
        </is>
      </c>
      <c r="E12" s="12" t="inlineStr">
        <is>
          <t>Saturday</t>
        </is>
      </c>
      <c r="F12" s="21" t="inlineStr">
        <is>
          <t>IFL</t>
        </is>
      </c>
      <c r="G12" s="12">
        <f>IF(B12="Bay Area Panthers","vs "&amp;C12,IF(C12="Bay Area Panthers","@ "&amp;B12,""))</f>
        <v/>
      </c>
      <c r="H12" s="17" t="inlineStr">
        <is>
          <t>L, 21-83</t>
        </is>
      </c>
      <c r="I12" s="21" t="n"/>
      <c r="J12" s="21" t="n"/>
      <c r="K12" s="21" t="n"/>
      <c r="N12" s="5" t="n"/>
      <c r="O12" s="5" t="n"/>
      <c r="P12" s="8" t="n"/>
      <c r="Q12" s="21" t="n"/>
      <c r="R12" s="21" t="n"/>
      <c r="S12" s="21" t="n"/>
    </row>
    <row r="13">
      <c r="A13" s="1" t="n">
        <v>44723</v>
      </c>
      <c r="B13" s="21" t="inlineStr">
        <is>
          <t>Tucson Sugar Skulls</t>
        </is>
      </c>
      <c r="C13" s="21" t="inlineStr">
        <is>
          <t>Bay Area Panthers</t>
        </is>
      </c>
      <c r="D13" s="5" t="inlineStr">
        <is>
          <t>Week 14</t>
        </is>
      </c>
      <c r="E13" s="12" t="inlineStr">
        <is>
          <t>Saturday</t>
        </is>
      </c>
      <c r="F13" s="21" t="inlineStr">
        <is>
          <t>IFL</t>
        </is>
      </c>
      <c r="G13" s="12">
        <f>IF(B13="Bay Area Panthers","vs "&amp;C13,IF(C13="Bay Area Panthers","@ "&amp;B13,""))</f>
        <v/>
      </c>
      <c r="H13" s="17" t="inlineStr">
        <is>
          <t>L, 33-58</t>
        </is>
      </c>
      <c r="I13" s="21" t="n"/>
      <c r="J13" s="21" t="n"/>
      <c r="K13" s="21" t="n"/>
      <c r="N13" s="5" t="n"/>
      <c r="O13" s="5" t="n"/>
      <c r="P13" s="8" t="n"/>
      <c r="Q13" s="21" t="n"/>
      <c r="R13" s="21" t="n"/>
      <c r="S13" s="21" t="n"/>
    </row>
    <row r="14">
      <c r="A14" s="1" t="n">
        <v>44730</v>
      </c>
      <c r="B14" s="21" t="inlineStr">
        <is>
          <t>San Diego Strike Force</t>
        </is>
      </c>
      <c r="C14" s="21" t="inlineStr">
        <is>
          <t>Bay Area Panthers</t>
        </is>
      </c>
      <c r="D14" s="5" t="inlineStr">
        <is>
          <t>Week 15</t>
        </is>
      </c>
      <c r="E14" s="12" t="inlineStr">
        <is>
          <t>Saturday</t>
        </is>
      </c>
      <c r="F14" s="21" t="inlineStr">
        <is>
          <t>IFL</t>
        </is>
      </c>
      <c r="G14" s="12">
        <f>IF(B14="Bay Area Panthers","vs "&amp;C14,IF(C14="Bay Area Panthers","@ "&amp;B14,""))</f>
        <v/>
      </c>
      <c r="H14" s="17" t="inlineStr">
        <is>
          <t>L, 26-66</t>
        </is>
      </c>
      <c r="I14" s="21" t="n"/>
      <c r="J14" s="21" t="n"/>
      <c r="K14" s="21" t="n"/>
      <c r="N14" s="5" t="n"/>
      <c r="O14" s="5" t="n"/>
      <c r="P14" s="8" t="n"/>
      <c r="Q14" s="21" t="n"/>
      <c r="R14" s="21" t="n"/>
      <c r="S14" s="21" t="n"/>
    </row>
    <row r="15">
      <c r="A15" s="1" t="n">
        <v>44744</v>
      </c>
      <c r="B15" s="21" t="inlineStr">
        <is>
          <t>Vegas Knight Hawks</t>
        </is>
      </c>
      <c r="C15" s="21" t="inlineStr">
        <is>
          <t>Bay Area Panthers</t>
        </is>
      </c>
      <c r="D15" s="5" t="inlineStr">
        <is>
          <t>Week 17</t>
        </is>
      </c>
      <c r="E15" s="12" t="inlineStr">
        <is>
          <t>Saturday</t>
        </is>
      </c>
      <c r="F15" s="21" t="inlineStr">
        <is>
          <t>IFL</t>
        </is>
      </c>
      <c r="G15" s="12">
        <f>IF(B15="Bay Area Panthers","vs "&amp;C15,IF(C15="Bay Area Panthers","@ "&amp;B15,""))</f>
        <v/>
      </c>
      <c r="H15" s="17" t="inlineStr">
        <is>
          <t>L, 33-65</t>
        </is>
      </c>
      <c r="I15" s="21" t="n"/>
      <c r="J15" s="21" t="n"/>
      <c r="K15" s="21" t="n"/>
      <c r="N15" s="5" t="n"/>
      <c r="O15" s="5" t="n"/>
      <c r="P15" s="8" t="n"/>
      <c r="Q15" s="21" t="n"/>
      <c r="R15" s="21" t="n"/>
      <c r="S15" s="21" t="n"/>
    </row>
    <row r="16">
      <c r="A16" s="1" t="n">
        <v>44751</v>
      </c>
      <c r="B16" s="21" t="inlineStr">
        <is>
          <t>Bay Area Panthers</t>
        </is>
      </c>
      <c r="C16" s="21" t="inlineStr">
        <is>
          <t>Massachusetts Pirates</t>
        </is>
      </c>
      <c r="D16" s="5" t="inlineStr">
        <is>
          <t>Week 18</t>
        </is>
      </c>
      <c r="E16" s="12" t="inlineStr">
        <is>
          <t>Saturday</t>
        </is>
      </c>
      <c r="F16" s="21" t="inlineStr">
        <is>
          <t>IFL</t>
        </is>
      </c>
      <c r="G16" s="12">
        <f>IF(B16="Bay Area Panthers","vs "&amp;C16,IF(C16="Bay Area Panthers","@ "&amp;B16,""))</f>
        <v/>
      </c>
      <c r="H16" s="17" t="inlineStr">
        <is>
          <t>L, 28-44</t>
        </is>
      </c>
      <c r="I16" s="21" t="n"/>
      <c r="J16" s="21" t="n"/>
      <c r="K16" s="21" t="n"/>
      <c r="N16" s="5" t="n"/>
      <c r="O16" s="5" t="n"/>
      <c r="P16" s="8" t="n"/>
      <c r="Q16" s="21" t="n"/>
      <c r="R16" s="21" t="n"/>
      <c r="S16" s="21" t="n"/>
    </row>
    <row r="17">
      <c r="A17" s="1" t="n">
        <v>44758</v>
      </c>
      <c r="B17" s="21" t="inlineStr">
        <is>
          <t>Bay Area Panthers</t>
        </is>
      </c>
      <c r="C17" s="21" t="inlineStr">
        <is>
          <t>Tucson Sugar Skulls</t>
        </is>
      </c>
      <c r="D17" s="5" t="inlineStr">
        <is>
          <t>Week 19</t>
        </is>
      </c>
      <c r="E17" s="12" t="inlineStr">
        <is>
          <t>Saturday</t>
        </is>
      </c>
      <c r="F17" s="21" t="inlineStr">
        <is>
          <t>IFL</t>
        </is>
      </c>
      <c r="G17" s="12">
        <f>IF(B17="Bay Area Panthers","vs "&amp;C17,IF(C17="Bay Area Panthers","@ "&amp;B17,""))</f>
        <v/>
      </c>
      <c r="H17" s="17" t="inlineStr">
        <is>
          <t>L, 41-50</t>
        </is>
      </c>
      <c r="I17" s="21" t="n"/>
      <c r="J17" s="21" t="n"/>
      <c r="K17" s="21" t="n"/>
      <c r="N17" s="5" t="n"/>
      <c r="O17" s="5" t="n"/>
      <c r="P17" s="8" t="n"/>
      <c r="Q17" s="21" t="n"/>
      <c r="R17" s="21" t="n"/>
      <c r="S17" s="21" t="n"/>
    </row>
    <row r="18">
      <c r="A18" s="1" t="n">
        <v>45011</v>
      </c>
      <c r="B18" s="21" t="inlineStr">
        <is>
          <t>Bay Area Panthers</t>
        </is>
      </c>
      <c r="C18" s="21" t="inlineStr">
        <is>
          <t>Arizona Rattlers</t>
        </is>
      </c>
      <c r="D18" s="5" t="inlineStr">
        <is>
          <t>Week 2</t>
        </is>
      </c>
      <c r="E18" s="12" t="inlineStr">
        <is>
          <t>Sunday</t>
        </is>
      </c>
      <c r="F18" s="21" t="inlineStr">
        <is>
          <t>IFL</t>
        </is>
      </c>
      <c r="G18" s="12">
        <f>IF(B18="Bay Area Panthers","vs "&amp;C18,IF(C18="Bay Area Panthers","@ "&amp;B18,""))</f>
        <v/>
      </c>
      <c r="H18" s="17" t="inlineStr">
        <is>
          <t>W, 47-46</t>
        </is>
      </c>
      <c r="I18" s="21" t="n"/>
      <c r="J18" s="21" t="n"/>
      <c r="K18" s="21" t="n"/>
      <c r="N18" s="5" t="n"/>
      <c r="O18" s="5" t="n"/>
      <c r="P18" s="8" t="n"/>
      <c r="Q18" s="21" t="n"/>
      <c r="R18" s="21" t="n"/>
      <c r="S18" s="21" t="n"/>
    </row>
    <row r="19">
      <c r="A19" s="1" t="n">
        <v>45018</v>
      </c>
      <c r="B19" s="21" t="inlineStr">
        <is>
          <t>Massachusetts Pirates</t>
        </is>
      </c>
      <c r="C19" s="21" t="inlineStr">
        <is>
          <t>Bay Area Panthers</t>
        </is>
      </c>
      <c r="D19" s="5" t="inlineStr">
        <is>
          <t>Week 3</t>
        </is>
      </c>
      <c r="E19" s="12" t="inlineStr">
        <is>
          <t>Sunday</t>
        </is>
      </c>
      <c r="F19" s="21" t="inlineStr">
        <is>
          <t>IFL</t>
        </is>
      </c>
      <c r="G19" s="12">
        <f>IF(B19="Bay Area Panthers","vs "&amp;C19,IF(C19="Bay Area Panthers","@ "&amp;B19,""))</f>
        <v/>
      </c>
      <c r="H19" s="17" t="inlineStr">
        <is>
          <t>L, 52-59</t>
        </is>
      </c>
      <c r="I19" s="21" t="n"/>
      <c r="J19" s="21" t="n"/>
      <c r="K19" s="21" t="n"/>
      <c r="N19" s="5" t="n"/>
      <c r="O19" s="5" t="n"/>
      <c r="P19" s="8" t="n"/>
      <c r="Q19" s="21" t="n"/>
      <c r="R19" s="21" t="n"/>
      <c r="S19" s="21" t="n"/>
    </row>
    <row r="20">
      <c r="A20" s="1" t="n">
        <v>45032</v>
      </c>
      <c r="B20" s="21" t="inlineStr">
        <is>
          <t>Bay Area Panthers</t>
        </is>
      </c>
      <c r="C20" s="21" t="inlineStr">
        <is>
          <t>Tucson Sugar Skulls</t>
        </is>
      </c>
      <c r="D20" s="5" t="inlineStr">
        <is>
          <t>Week 5</t>
        </is>
      </c>
      <c r="E20" s="12" t="inlineStr">
        <is>
          <t>Sunday</t>
        </is>
      </c>
      <c r="F20" s="21" t="inlineStr">
        <is>
          <t>IFL</t>
        </is>
      </c>
      <c r="G20" s="12">
        <f>IF(B20="Bay Area Panthers","vs "&amp;C20,IF(C20="Bay Area Panthers","@ "&amp;B20,""))</f>
        <v/>
      </c>
      <c r="H20" s="17" t="inlineStr">
        <is>
          <t>L, 30-34</t>
        </is>
      </c>
      <c r="I20" s="21" t="n"/>
      <c r="J20" s="21" t="n"/>
      <c r="K20" s="21" t="n"/>
      <c r="N20" s="5" t="n"/>
      <c r="O20" s="5" t="n"/>
      <c r="P20" s="8" t="n"/>
      <c r="Q20" s="21" t="n"/>
      <c r="R20" s="21" t="n"/>
      <c r="S20" s="21" t="n"/>
    </row>
    <row r="21">
      <c r="A21" s="1" t="n">
        <v>45039</v>
      </c>
      <c r="B21" s="21" t="inlineStr">
        <is>
          <t>Bay Area Panthers</t>
        </is>
      </c>
      <c r="C21" s="21" t="inlineStr">
        <is>
          <t>Northern Arizona Wranglers</t>
        </is>
      </c>
      <c r="D21" s="5" t="inlineStr">
        <is>
          <t>Week 6</t>
        </is>
      </c>
      <c r="E21" s="12" t="inlineStr">
        <is>
          <t>Sunday</t>
        </is>
      </c>
      <c r="F21" s="21" t="inlineStr">
        <is>
          <t>IFL</t>
        </is>
      </c>
      <c r="G21" s="12">
        <f>IF(B21="Bay Area Panthers","vs "&amp;C21,IF(C21="Bay Area Panthers","@ "&amp;B21,""))</f>
        <v/>
      </c>
      <c r="H21" s="17" t="inlineStr">
        <is>
          <t>W, 47-13</t>
        </is>
      </c>
      <c r="I21" s="21" t="n"/>
      <c r="J21" s="21" t="n"/>
      <c r="K21" s="21" t="n"/>
      <c r="N21" s="5" t="n"/>
      <c r="O21" s="5" t="n"/>
      <c r="P21" s="8" t="n"/>
      <c r="Q21" s="21" t="n"/>
      <c r="R21" s="21" t="n"/>
      <c r="S21" s="21" t="n"/>
    </row>
    <row r="22">
      <c r="A22" s="1" t="n">
        <v>45046</v>
      </c>
      <c r="B22" s="21" t="inlineStr">
        <is>
          <t>San Diego Strike Force</t>
        </is>
      </c>
      <c r="C22" s="21" t="inlineStr">
        <is>
          <t>Bay Area Panthers</t>
        </is>
      </c>
      <c r="D22" s="5" t="inlineStr">
        <is>
          <t>Week 7</t>
        </is>
      </c>
      <c r="E22" s="12" t="inlineStr">
        <is>
          <t>Sunday</t>
        </is>
      </c>
      <c r="F22" s="21" t="inlineStr">
        <is>
          <t>IFL</t>
        </is>
      </c>
      <c r="G22" s="12">
        <f>IF(B22="Bay Area Panthers","vs "&amp;C22,IF(C22="Bay Area Panthers","@ "&amp;B22,""))</f>
        <v/>
      </c>
      <c r="H22" s="17" t="inlineStr">
        <is>
          <t>W, 54-51</t>
        </is>
      </c>
      <c r="I22" s="21" t="n"/>
      <c r="J22" s="21" t="n"/>
      <c r="K22" s="21" t="n"/>
      <c r="N22" s="5" t="n"/>
      <c r="O22" s="5" t="n"/>
      <c r="P22" s="8" t="n"/>
      <c r="Q22" s="21" t="n"/>
      <c r="R22" s="21" t="n"/>
      <c r="S22" s="21" t="n"/>
    </row>
    <row r="23">
      <c r="A23" s="1" t="n">
        <v>45052</v>
      </c>
      <c r="B23" s="21" t="inlineStr">
        <is>
          <t>Vegas Knight Hawks</t>
        </is>
      </c>
      <c r="C23" s="21" t="inlineStr">
        <is>
          <t>Bay Area Panthers</t>
        </is>
      </c>
      <c r="D23" s="5" t="inlineStr">
        <is>
          <t>Week 8</t>
        </is>
      </c>
      <c r="E23" s="12" t="inlineStr">
        <is>
          <t>Saturday</t>
        </is>
      </c>
      <c r="F23" s="21" t="inlineStr">
        <is>
          <t>IFL</t>
        </is>
      </c>
      <c r="G23" s="12">
        <f>IF(B23="Bay Area Panthers","vs "&amp;C23,IF(C23="Bay Area Panthers","@ "&amp;B23,""))</f>
        <v/>
      </c>
      <c r="H23" s="17" t="inlineStr">
        <is>
          <t>W, 60-34</t>
        </is>
      </c>
      <c r="I23" s="21" t="n"/>
      <c r="J23" s="21" t="n"/>
      <c r="K23" s="21" t="n"/>
      <c r="N23" s="5" t="n"/>
      <c r="O23" s="5" t="n"/>
      <c r="P23" s="8" t="n"/>
      <c r="Q23" s="21" t="n"/>
      <c r="R23" s="21" t="n"/>
      <c r="S23" s="21" t="n"/>
    </row>
    <row r="24">
      <c r="A24" s="1" t="n">
        <v>45059</v>
      </c>
      <c r="B24" s="21" t="inlineStr">
        <is>
          <t>Northern Arizona Wranglers</t>
        </is>
      </c>
      <c r="C24" s="21" t="inlineStr">
        <is>
          <t>Bay Area Panthers</t>
        </is>
      </c>
      <c r="D24" s="5" t="inlineStr">
        <is>
          <t>Week 9</t>
        </is>
      </c>
      <c r="E24" s="12" t="inlineStr">
        <is>
          <t>Saturday</t>
        </is>
      </c>
      <c r="F24" s="21" t="inlineStr">
        <is>
          <t>IFL</t>
        </is>
      </c>
      <c r="G24" s="12">
        <f>IF(B24="Bay Area Panthers","vs "&amp;C24,IF(C24="Bay Area Panthers","@ "&amp;B24,""))</f>
        <v/>
      </c>
      <c r="H24" s="17" t="inlineStr">
        <is>
          <t>L, 34-35</t>
        </is>
      </c>
      <c r="I24" s="21" t="n"/>
      <c r="J24" s="21" t="n"/>
      <c r="K24" s="21" t="n"/>
      <c r="N24" s="5" t="n"/>
      <c r="O24" s="5" t="n"/>
      <c r="P24" s="8" t="n"/>
      <c r="Q24" s="21" t="n"/>
      <c r="R24" s="21" t="n"/>
      <c r="S24" s="21" t="n"/>
    </row>
    <row r="25">
      <c r="A25" s="1" t="n">
        <v>45066</v>
      </c>
      <c r="B25" s="21" t="inlineStr">
        <is>
          <t>Frisco Fighters</t>
        </is>
      </c>
      <c r="C25" s="21" t="inlineStr">
        <is>
          <t>Bay Area Panthers</t>
        </is>
      </c>
      <c r="D25" s="5" t="inlineStr">
        <is>
          <t>Week 10</t>
        </is>
      </c>
      <c r="E25" s="12" t="inlineStr">
        <is>
          <t>Saturday</t>
        </is>
      </c>
      <c r="F25" s="21" t="inlineStr">
        <is>
          <t>IFL</t>
        </is>
      </c>
      <c r="G25" s="12">
        <f>IF(B25="Bay Area Panthers","vs "&amp;C25,IF(C25="Bay Area Panthers","@ "&amp;B25,""))</f>
        <v/>
      </c>
      <c r="H25" s="17" t="inlineStr">
        <is>
          <t>W, 62-55</t>
        </is>
      </c>
      <c r="I25" s="21" t="n"/>
      <c r="J25" s="21" t="n"/>
      <c r="K25" s="21" t="n"/>
      <c r="N25" s="5" t="n"/>
      <c r="O25" s="5" t="n"/>
      <c r="P25" s="8" t="n"/>
      <c r="Q25" s="21" t="n"/>
      <c r="R25" s="21" t="n"/>
      <c r="S25" s="21" t="n"/>
    </row>
    <row r="26">
      <c r="A26" s="1" t="n">
        <v>45073</v>
      </c>
      <c r="B26" s="21" t="inlineStr">
        <is>
          <t>Tucson Sugar Skulls</t>
        </is>
      </c>
      <c r="C26" s="21" t="inlineStr">
        <is>
          <t>Bay Area Panthers</t>
        </is>
      </c>
      <c r="D26" s="5" t="inlineStr">
        <is>
          <t>Week 11</t>
        </is>
      </c>
      <c r="E26" s="12" t="inlineStr">
        <is>
          <t>Saturday</t>
        </is>
      </c>
      <c r="F26" s="21" t="inlineStr">
        <is>
          <t>IFL</t>
        </is>
      </c>
      <c r="G26" s="12">
        <f>IF(B26="Bay Area Panthers","vs "&amp;C26,IF(C26="Bay Area Panthers","@ "&amp;B26,""))</f>
        <v/>
      </c>
      <c r="H26" s="17" t="inlineStr">
        <is>
          <t>W, 44-42</t>
        </is>
      </c>
      <c r="I26" s="21" t="n"/>
      <c r="J26" s="21" t="n"/>
      <c r="K26" s="21" t="n"/>
      <c r="N26" s="5" t="n"/>
      <c r="O26" s="5" t="n"/>
      <c r="P26" s="8" t="n"/>
      <c r="Q26" s="21" t="n"/>
      <c r="R26" s="21" t="n"/>
      <c r="S26" s="21" t="n"/>
    </row>
    <row r="27">
      <c r="A27" s="1" t="n">
        <v>45080</v>
      </c>
      <c r="B27" s="21" t="inlineStr">
        <is>
          <t>Bay Area Panthers</t>
        </is>
      </c>
      <c r="C27" s="21" t="inlineStr">
        <is>
          <t>Duke City Gladiators</t>
        </is>
      </c>
      <c r="D27" s="5" t="inlineStr">
        <is>
          <t>Week 12</t>
        </is>
      </c>
      <c r="E27" s="12" t="inlineStr">
        <is>
          <t>Saturday</t>
        </is>
      </c>
      <c r="F27" s="21" t="inlineStr">
        <is>
          <t>IFL</t>
        </is>
      </c>
      <c r="G27" s="12">
        <f>IF(B27="Bay Area Panthers","vs "&amp;C27,IF(C27="Bay Area Panthers","@ "&amp;B27,""))</f>
        <v/>
      </c>
      <c r="H27" s="17" t="inlineStr">
        <is>
          <t>W, 69-52</t>
        </is>
      </c>
      <c r="I27" s="21" t="n"/>
      <c r="J27" s="21" t="n"/>
      <c r="K27" s="21" t="n"/>
      <c r="N27" s="5" t="n"/>
      <c r="O27" s="8" t="n"/>
      <c r="P27" s="8" t="n"/>
      <c r="Q27" s="21" t="n"/>
      <c r="R27" s="21" t="n"/>
      <c r="S27" s="21" t="n"/>
    </row>
    <row r="28">
      <c r="A28" s="1" t="n">
        <v>45088</v>
      </c>
      <c r="B28" s="21" t="inlineStr">
        <is>
          <t>Arizona Rattlers</t>
        </is>
      </c>
      <c r="C28" s="21" t="inlineStr">
        <is>
          <t>Bay Area Panthers</t>
        </is>
      </c>
      <c r="D28" s="5" t="inlineStr">
        <is>
          <t>Week 13</t>
        </is>
      </c>
      <c r="E28" s="12" t="inlineStr">
        <is>
          <t>Sunday</t>
        </is>
      </c>
      <c r="F28" s="21" t="inlineStr">
        <is>
          <t>IFL</t>
        </is>
      </c>
      <c r="G28" s="12">
        <f>IF(B28="Bay Area Panthers","vs "&amp;C28,IF(C28="Bay Area Panthers","@ "&amp;B28,""))</f>
        <v/>
      </c>
      <c r="H28" s="17" t="inlineStr">
        <is>
          <t>L, 63-70</t>
        </is>
      </c>
      <c r="I28" s="21" t="n"/>
      <c r="J28" s="21" t="n"/>
      <c r="K28" s="21" t="n"/>
      <c r="N28" s="5" t="n"/>
      <c r="O28" s="5" t="n"/>
      <c r="P28" s="8" t="n"/>
      <c r="Q28" s="21" t="n"/>
      <c r="R28" s="21" t="n"/>
      <c r="S28" s="21" t="n"/>
    </row>
    <row r="29">
      <c r="A29" s="1" t="n">
        <v>45094</v>
      </c>
      <c r="B29" s="21" t="inlineStr">
        <is>
          <t>Vegas Knight Hawks</t>
        </is>
      </c>
      <c r="C29" s="21" t="inlineStr">
        <is>
          <t>Bay Area Panthers</t>
        </is>
      </c>
      <c r="D29" s="5" t="inlineStr">
        <is>
          <t>Week 14</t>
        </is>
      </c>
      <c r="E29" s="12" t="inlineStr">
        <is>
          <t>Saturday</t>
        </is>
      </c>
      <c r="F29" s="21" t="inlineStr">
        <is>
          <t>IFL</t>
        </is>
      </c>
      <c r="G29" s="12">
        <f>IF(B29="Bay Area Panthers","vs "&amp;C29,IF(C29="Bay Area Panthers","@ "&amp;B29,""))</f>
        <v/>
      </c>
      <c r="H29" s="17" t="inlineStr">
        <is>
          <t>W, 56-41</t>
        </is>
      </c>
      <c r="I29" s="21" t="n"/>
      <c r="J29" s="21" t="n"/>
      <c r="K29" s="21" t="n"/>
      <c r="N29" s="5" t="n"/>
      <c r="O29" s="5" t="n"/>
      <c r="P29" s="8" t="n"/>
      <c r="Q29" s="21" t="n"/>
      <c r="R29" s="21" t="n"/>
      <c r="S29" s="21" t="n"/>
    </row>
    <row r="30">
      <c r="A30" s="1" t="n">
        <v>45101</v>
      </c>
      <c r="B30" s="21" t="inlineStr">
        <is>
          <t>Frisco Fighters</t>
        </is>
      </c>
      <c r="C30" s="21" t="inlineStr">
        <is>
          <t>Bay Area Panthers</t>
        </is>
      </c>
      <c r="D30" s="5" t="inlineStr">
        <is>
          <t>Week 15</t>
        </is>
      </c>
      <c r="E30" s="12" t="inlineStr">
        <is>
          <t>Saturday</t>
        </is>
      </c>
      <c r="F30" s="21" t="inlineStr">
        <is>
          <t>IFL</t>
        </is>
      </c>
      <c r="G30" s="12">
        <f>IF(B30="Bay Area Panthers","vs "&amp;C30,IF(C30="Bay Area Panthers","@ "&amp;B30,""))</f>
        <v/>
      </c>
      <c r="H30" s="17" t="inlineStr">
        <is>
          <t>L, 38-45</t>
        </is>
      </c>
      <c r="I30" s="21" t="n"/>
      <c r="J30" s="21" t="n"/>
      <c r="K30" s="21" t="n"/>
      <c r="N30" s="5" t="n"/>
      <c r="O30" s="5" t="n"/>
      <c r="P30" s="8" t="n"/>
      <c r="Q30" s="21" t="n"/>
      <c r="R30" s="21" t="n"/>
      <c r="S30" s="21" t="n"/>
    </row>
    <row r="31">
      <c r="A31" s="1" t="n">
        <v>45117</v>
      </c>
      <c r="B31" s="21" t="inlineStr">
        <is>
          <t>Bay Area Panthers</t>
        </is>
      </c>
      <c r="C31" s="21" t="inlineStr">
        <is>
          <t>San Diego Strike Force</t>
        </is>
      </c>
      <c r="D31" s="5" t="inlineStr">
        <is>
          <t>Week 17</t>
        </is>
      </c>
      <c r="E31" s="12" t="inlineStr">
        <is>
          <t>Monday</t>
        </is>
      </c>
      <c r="F31" s="21" t="inlineStr">
        <is>
          <t>IFL</t>
        </is>
      </c>
      <c r="G31" s="12">
        <f>IF(B31="Bay Area Panthers","vs "&amp;C31,IF(C31="Bay Area Panthers","@ "&amp;B31,""))</f>
        <v/>
      </c>
      <c r="H31" s="17" t="inlineStr">
        <is>
          <t>W, 75-40</t>
        </is>
      </c>
      <c r="I31" s="21" t="n"/>
      <c r="J31" s="21" t="n"/>
      <c r="K31" s="21" t="n"/>
      <c r="N31" s="5" t="n"/>
      <c r="O31" s="5" t="n"/>
      <c r="P31" s="8" t="n"/>
      <c r="Q31" s="21" t="n"/>
      <c r="R31" s="21" t="n"/>
      <c r="S31" s="21" t="n"/>
    </row>
    <row r="32">
      <c r="A32" s="1" t="n">
        <v>45122</v>
      </c>
      <c r="B32" s="21" t="inlineStr">
        <is>
          <t>Duke City Gladiators</t>
        </is>
      </c>
      <c r="C32" s="21" t="inlineStr">
        <is>
          <t>Bay Area Panthers</t>
        </is>
      </c>
      <c r="D32" s="5" t="inlineStr">
        <is>
          <t>Week 18</t>
        </is>
      </c>
      <c r="E32" s="12" t="inlineStr">
        <is>
          <t>Saturday</t>
        </is>
      </c>
      <c r="F32" s="21" t="inlineStr">
        <is>
          <t>IFL</t>
        </is>
      </c>
      <c r="G32" s="12">
        <f>IF(B32="Bay Area Panthers","vs "&amp;C32,IF(C32="Bay Area Panthers","@ "&amp;B32,""))</f>
        <v/>
      </c>
      <c r="H32" s="17" t="inlineStr">
        <is>
          <t>W, 44-35</t>
        </is>
      </c>
      <c r="I32" s="21" t="n"/>
      <c r="J32" s="21" t="n"/>
      <c r="K32" s="21" t="n"/>
      <c r="N32" s="8" t="n"/>
      <c r="O32" s="5" t="n"/>
      <c r="P32" s="8" t="n"/>
      <c r="Q32" s="21" t="n"/>
      <c r="R32" s="21" t="n"/>
      <c r="S32" s="21" t="n"/>
    </row>
    <row r="33">
      <c r="A33" s="1" t="n">
        <v>45130</v>
      </c>
      <c r="B33" s="21" t="inlineStr">
        <is>
          <t>Bay Area Panthers</t>
        </is>
      </c>
      <c r="C33" s="21" t="inlineStr">
        <is>
          <t>Tucson Sugar Skulls</t>
        </is>
      </c>
      <c r="D33" s="5" t="inlineStr">
        <is>
          <t>Playoff Round 1</t>
        </is>
      </c>
      <c r="E33" s="12" t="inlineStr">
        <is>
          <t>Sunday</t>
        </is>
      </c>
      <c r="F33" s="21" t="inlineStr">
        <is>
          <t>IFL</t>
        </is>
      </c>
      <c r="G33" s="12">
        <f>IF(B33="Bay Area Panthers","vs "&amp;C33,IF(C33="Bay Area Panthers","@ "&amp;B33,""))</f>
        <v/>
      </c>
      <c r="H33" s="17" t="inlineStr">
        <is>
          <t>W, 46-34</t>
        </is>
      </c>
      <c r="I33" s="21" t="n"/>
      <c r="J33" s="21" t="n"/>
      <c r="K33" s="21" t="n"/>
      <c r="N33" s="5" t="n"/>
      <c r="O33" s="5" t="n"/>
      <c r="P33" s="8" t="n"/>
      <c r="Q33" s="21" t="n"/>
      <c r="R33" s="21" t="n"/>
      <c r="S33" s="21" t="n"/>
    </row>
    <row r="34">
      <c r="A34" s="1" t="n">
        <v>45136</v>
      </c>
      <c r="B34" s="21" t="inlineStr">
        <is>
          <t>Bay Area Panthers</t>
        </is>
      </c>
      <c r="C34" s="21" t="inlineStr">
        <is>
          <t>Northern Arizona Wranglers</t>
        </is>
      </c>
      <c r="D34" s="5" t="inlineStr">
        <is>
          <t>Playoff Round 2</t>
        </is>
      </c>
      <c r="E34" s="12" t="inlineStr">
        <is>
          <t>Saturday</t>
        </is>
      </c>
      <c r="F34" s="21" t="inlineStr">
        <is>
          <t>IFL</t>
        </is>
      </c>
      <c r="G34" s="12">
        <f>IF(B34="Bay Area Panthers","vs "&amp;C34,IF(C34="Bay Area Panthers","@ "&amp;B34,""))</f>
        <v/>
      </c>
      <c r="H34" s="17" t="inlineStr">
        <is>
          <t>W, 68-46</t>
        </is>
      </c>
      <c r="I34" s="21" t="n"/>
      <c r="J34" s="21" t="n"/>
      <c r="K34" s="21" t="n"/>
      <c r="N34" s="5" t="n"/>
      <c r="O34" s="5" t="n"/>
      <c r="P34" s="8" t="n"/>
      <c r="Q34" s="21" t="n"/>
      <c r="R34" s="21" t="n"/>
      <c r="S34" s="21" t="n"/>
    </row>
    <row r="35">
      <c r="A35" s="1" t="n">
        <v>45143</v>
      </c>
      <c r="B35" s="21" t="inlineStr">
        <is>
          <t>Bay Area Panthers</t>
        </is>
      </c>
      <c r="C35" s="21" t="inlineStr">
        <is>
          <t>Sioux Falls Storm</t>
        </is>
      </c>
      <c r="D35" s="5" t="inlineStr">
        <is>
          <t>Championship</t>
        </is>
      </c>
      <c r="E35" s="12" t="inlineStr">
        <is>
          <t>Saturday</t>
        </is>
      </c>
      <c r="F35" s="21" t="inlineStr">
        <is>
          <t>IFL</t>
        </is>
      </c>
      <c r="G35" s="12">
        <f>IF(B35="Bay Area Panthers","vs "&amp;C35,IF(C35="Bay Area Panthers","@ "&amp;B35,""))</f>
        <v/>
      </c>
      <c r="H35" s="17" t="inlineStr">
        <is>
          <t>W, 51-41</t>
        </is>
      </c>
      <c r="I35" s="21" t="n"/>
      <c r="J35" s="21" t="n"/>
      <c r="K35" s="21" t="n"/>
      <c r="N35" s="5" t="n"/>
      <c r="O35" s="5" t="n"/>
      <c r="P35" s="8" t="n"/>
      <c r="Q35" s="21" t="n"/>
      <c r="R35" s="21" t="n"/>
      <c r="S35" s="21" t="n"/>
    </row>
    <row r="36">
      <c r="A36" s="1" t="n">
        <v>45382</v>
      </c>
      <c r="B36" s="21" t="inlineStr">
        <is>
          <t>Bay Area Panthers</t>
        </is>
      </c>
      <c r="C36" s="21" t="inlineStr">
        <is>
          <t>Arizona Rattlers</t>
        </is>
      </c>
      <c r="D36" s="5" t="inlineStr">
        <is>
          <t>Week 3</t>
        </is>
      </c>
      <c r="E36" s="12" t="inlineStr">
        <is>
          <t>Sunday</t>
        </is>
      </c>
      <c r="F36" s="21" t="inlineStr">
        <is>
          <t>IFL</t>
        </is>
      </c>
      <c r="G36" s="12">
        <f>IF(B36="Bay Area Panthers","vs "&amp;C36,IF(C36="Bay Area Panthers","@ "&amp;B36,""))</f>
        <v/>
      </c>
      <c r="H36" s="17" t="inlineStr">
        <is>
          <t>W, 47-41</t>
        </is>
      </c>
      <c r="I36" s="21" t="n"/>
      <c r="J36" s="21" t="n"/>
      <c r="K36" s="21" t="n"/>
      <c r="N36" s="5" t="n"/>
      <c r="O36" s="5" t="n"/>
      <c r="P36" s="8" t="n"/>
      <c r="Q36" s="21" t="n"/>
      <c r="R36" s="21" t="n"/>
      <c r="S36" s="21" t="n"/>
    </row>
    <row r="37">
      <c r="A37" s="1" t="n">
        <v>45388</v>
      </c>
      <c r="B37" s="21" t="inlineStr">
        <is>
          <t>Jacksonville Sharks</t>
        </is>
      </c>
      <c r="C37" s="21" t="inlineStr">
        <is>
          <t>Bay Area Panthers</t>
        </is>
      </c>
      <c r="D37" s="5" t="inlineStr">
        <is>
          <t>Week 4</t>
        </is>
      </c>
      <c r="E37" s="12" t="inlineStr">
        <is>
          <t>Saturday</t>
        </is>
      </c>
      <c r="F37" s="21" t="inlineStr">
        <is>
          <t>IFL</t>
        </is>
      </c>
      <c r="G37" s="12">
        <f>IF(B37="Bay Area Panthers","vs "&amp;C37,IF(C37="Bay Area Panthers","@ "&amp;B37,""))</f>
        <v/>
      </c>
      <c r="H37" s="17" t="inlineStr">
        <is>
          <t>W, 48-24</t>
        </is>
      </c>
      <c r="I37" s="21" t="n"/>
      <c r="J37" s="21" t="n"/>
      <c r="K37" s="21" t="n"/>
      <c r="N37" s="5" t="n"/>
      <c r="O37" s="5" t="n"/>
      <c r="P37" s="8" t="n"/>
      <c r="Q37" s="21" t="n"/>
      <c r="R37" s="21" t="n"/>
      <c r="S37" s="21" t="n"/>
    </row>
    <row r="38">
      <c r="A38" s="1" t="n">
        <v>45396</v>
      </c>
      <c r="B38" s="21" t="inlineStr">
        <is>
          <t>Tucson Sugar Skulls</t>
        </is>
      </c>
      <c r="C38" s="21" t="inlineStr">
        <is>
          <t>Bay Area Panthers</t>
        </is>
      </c>
      <c r="D38" s="5" t="inlineStr">
        <is>
          <t>Week 5</t>
        </is>
      </c>
      <c r="E38" s="12" t="inlineStr">
        <is>
          <t>Sunday</t>
        </is>
      </c>
      <c r="F38" s="21" t="inlineStr">
        <is>
          <t>IFL</t>
        </is>
      </c>
      <c r="G38" s="12">
        <f>IF(B38="Bay Area Panthers","vs "&amp;C38,IF(C38="Bay Area Panthers","@ "&amp;B38,""))</f>
        <v/>
      </c>
      <c r="H38" s="17" t="inlineStr">
        <is>
          <t>W, 44-31</t>
        </is>
      </c>
      <c r="I38" s="21" t="n"/>
      <c r="J38" s="21" t="n"/>
      <c r="K38" s="21" t="n"/>
      <c r="N38" s="5" t="n"/>
      <c r="O38" s="5" t="n"/>
      <c r="P38" s="8" t="n"/>
      <c r="Q38" s="21" t="n"/>
      <c r="R38" s="21" t="n"/>
      <c r="S38" s="21" t="n"/>
    </row>
    <row r="39">
      <c r="A39" s="1" t="n">
        <v>45402</v>
      </c>
      <c r="B39" s="21" t="inlineStr">
        <is>
          <t>Bay Area Panthers</t>
        </is>
      </c>
      <c r="C39" s="21" t="inlineStr">
        <is>
          <t>San Diego Strike Force</t>
        </is>
      </c>
      <c r="D39" s="5" t="inlineStr">
        <is>
          <t>Week 6</t>
        </is>
      </c>
      <c r="E39" s="12" t="inlineStr">
        <is>
          <t>Saturday</t>
        </is>
      </c>
      <c r="F39" s="21" t="inlineStr">
        <is>
          <t>IFL</t>
        </is>
      </c>
      <c r="G39" s="12">
        <f>IF(B39="Bay Area Panthers","vs "&amp;C39,IF(C39="Bay Area Panthers","@ "&amp;B39,""))</f>
        <v/>
      </c>
      <c r="H39" s="17" t="inlineStr">
        <is>
          <t>W, 53-50</t>
        </is>
      </c>
      <c r="I39" s="21" t="n"/>
      <c r="J39" s="21" t="n"/>
      <c r="K39" s="21" t="n"/>
      <c r="N39" s="5" t="n"/>
      <c r="O39" s="5" t="n"/>
      <c r="P39" s="8" t="n"/>
      <c r="Q39" s="21" t="n"/>
      <c r="R39" s="21" t="n"/>
      <c r="S39" s="21" t="n"/>
    </row>
    <row r="40">
      <c r="A40" s="1" t="n">
        <v>45410</v>
      </c>
      <c r="B40" s="21" t="inlineStr">
        <is>
          <t>San Diego Strike Force</t>
        </is>
      </c>
      <c r="C40" s="21" t="inlineStr">
        <is>
          <t>Bay Area Panthers</t>
        </is>
      </c>
      <c r="D40" s="5" t="inlineStr">
        <is>
          <t>Week 7</t>
        </is>
      </c>
      <c r="E40" s="12" t="inlineStr">
        <is>
          <t>Sunday</t>
        </is>
      </c>
      <c r="F40" s="21" t="inlineStr">
        <is>
          <t>IFL</t>
        </is>
      </c>
      <c r="G40" s="12">
        <f>IF(B40="Bay Area Panthers","vs "&amp;C40,IF(C40="Bay Area Panthers","@ "&amp;B40,""))</f>
        <v/>
      </c>
      <c r="H40" s="17" t="inlineStr">
        <is>
          <t>W, 33-32</t>
        </is>
      </c>
      <c r="I40" s="21" t="n"/>
      <c r="J40" s="21" t="n"/>
      <c r="K40" s="21" t="n"/>
      <c r="N40" s="5" t="n"/>
      <c r="O40" s="5" t="n"/>
      <c r="P40" s="8" t="n"/>
      <c r="Q40" s="21" t="n"/>
      <c r="R40" s="21" t="n"/>
      <c r="S40" s="21" t="n"/>
    </row>
    <row r="41">
      <c r="A41" s="1" t="n">
        <v>45416</v>
      </c>
      <c r="B41" s="21" t="inlineStr">
        <is>
          <t>Bay Area Panthers</t>
        </is>
      </c>
      <c r="C41" s="21" t="inlineStr">
        <is>
          <t>Vegas Knight Hawks</t>
        </is>
      </c>
      <c r="D41" s="5" t="inlineStr">
        <is>
          <t>Week 8</t>
        </is>
      </c>
      <c r="E41" s="12" t="inlineStr">
        <is>
          <t>Saturday</t>
        </is>
      </c>
      <c r="F41" s="21" t="inlineStr">
        <is>
          <t>IFL</t>
        </is>
      </c>
      <c r="G41" s="12">
        <f>IF(B41="Bay Area Panthers","vs "&amp;C41,IF(C41="Bay Area Panthers","@ "&amp;B41,""))</f>
        <v/>
      </c>
      <c r="H41" s="17" t="inlineStr">
        <is>
          <t>L, 43-62</t>
        </is>
      </c>
      <c r="I41" s="21" t="n"/>
      <c r="J41" s="21" t="n"/>
      <c r="K41" s="21" t="n"/>
      <c r="N41" s="5" t="n"/>
      <c r="O41" s="5" t="n"/>
      <c r="P41" s="8" t="n"/>
      <c r="Q41" s="21" t="n"/>
      <c r="R41" s="21" t="n"/>
      <c r="S41" s="21" t="n"/>
    </row>
    <row r="42">
      <c r="A42" s="1" t="n">
        <v>45423</v>
      </c>
      <c r="B42" s="21" t="inlineStr">
        <is>
          <t>Northern Arizona Wranglers</t>
        </is>
      </c>
      <c r="C42" s="21" t="inlineStr">
        <is>
          <t>Bay Area Panthers</t>
        </is>
      </c>
      <c r="D42" s="5" t="inlineStr">
        <is>
          <t>Week 9</t>
        </is>
      </c>
      <c r="E42" s="12" t="inlineStr">
        <is>
          <t>Saturday</t>
        </is>
      </c>
      <c r="F42" s="21" t="inlineStr">
        <is>
          <t>IFL</t>
        </is>
      </c>
      <c r="G42" s="12">
        <f>IF(B42="Bay Area Panthers","vs "&amp;C42,IF(C42="Bay Area Panthers","@ "&amp;B42,""))</f>
        <v/>
      </c>
      <c r="H42" s="17" t="inlineStr">
        <is>
          <t>W, 39-36</t>
        </is>
      </c>
      <c r="I42" s="21" t="n"/>
      <c r="J42" s="21" t="n"/>
      <c r="K42" s="21" t="n"/>
      <c r="N42" s="5" t="n"/>
      <c r="O42" s="5" t="n"/>
      <c r="P42" s="8" t="n"/>
      <c r="Q42" s="21" t="n"/>
      <c r="R42" s="21" t="n"/>
      <c r="S42" s="21" t="n"/>
    </row>
    <row r="43">
      <c r="A43" s="1" t="n">
        <v>45430</v>
      </c>
      <c r="B43" s="21" t="inlineStr">
        <is>
          <t>Arizona Rattlers</t>
        </is>
      </c>
      <c r="C43" s="21" t="inlineStr">
        <is>
          <t>Bay Area Panthers</t>
        </is>
      </c>
      <c r="D43" s="5" t="inlineStr">
        <is>
          <t>Week 10</t>
        </is>
      </c>
      <c r="E43" s="12" t="inlineStr">
        <is>
          <t>Saturday</t>
        </is>
      </c>
      <c r="F43" s="21" t="inlineStr">
        <is>
          <t>IFL</t>
        </is>
      </c>
      <c r="G43" s="12">
        <f>IF(B43="Bay Area Panthers","vs "&amp;C43,IF(C43="Bay Area Panthers","@ "&amp;B43,""))</f>
        <v/>
      </c>
      <c r="H43" s="17" t="inlineStr">
        <is>
          <t>W, 68-52</t>
        </is>
      </c>
      <c r="I43" s="21" t="n"/>
      <c r="J43" s="21" t="n"/>
      <c r="K43" s="21" t="n"/>
      <c r="N43" s="5" t="n"/>
      <c r="O43" s="5" t="n"/>
      <c r="P43" s="8" t="n"/>
      <c r="Q43" s="21" t="n"/>
      <c r="R43" s="21" t="n"/>
      <c r="S43" s="21" t="n"/>
    </row>
    <row r="44">
      <c r="A44" s="1" t="n">
        <v>45437</v>
      </c>
      <c r="B44" s="21" t="inlineStr">
        <is>
          <t>Bay Area Panthers</t>
        </is>
      </c>
      <c r="C44" s="21" t="inlineStr">
        <is>
          <t>San Antonio Gunslingers</t>
        </is>
      </c>
      <c r="D44" s="5" t="inlineStr">
        <is>
          <t>Week 11</t>
        </is>
      </c>
      <c r="E44" s="12" t="inlineStr">
        <is>
          <t>Saturday</t>
        </is>
      </c>
      <c r="F44" s="21" t="inlineStr">
        <is>
          <t>IFL</t>
        </is>
      </c>
      <c r="G44" s="12">
        <f>IF(B44="Bay Area Panthers","vs "&amp;C44,IF(C44="Bay Area Panthers","@ "&amp;B44,""))</f>
        <v/>
      </c>
      <c r="H44" s="17" t="inlineStr">
        <is>
          <t>W, 42-31</t>
        </is>
      </c>
      <c r="I44" s="21" t="n"/>
      <c r="J44" s="21" t="n"/>
      <c r="K44" s="21" t="n"/>
      <c r="N44" s="5" t="n"/>
      <c r="O44" s="5" t="n"/>
      <c r="P44" s="8" t="n"/>
      <c r="Q44" s="21" t="n"/>
      <c r="R44" s="21" t="n"/>
      <c r="S44" s="21" t="n"/>
    </row>
    <row r="45">
      <c r="A45" s="1" t="n">
        <v>45451</v>
      </c>
      <c r="B45" s="21" t="inlineStr">
        <is>
          <t>Bay Area Panthers</t>
        </is>
      </c>
      <c r="C45" s="21" t="inlineStr">
        <is>
          <t>Tucson Sugar Skulls</t>
        </is>
      </c>
      <c r="D45" s="5" t="inlineStr">
        <is>
          <t>Week 13</t>
        </is>
      </c>
      <c r="E45" s="12" t="inlineStr">
        <is>
          <t>Saturday</t>
        </is>
      </c>
      <c r="F45" s="21" t="inlineStr">
        <is>
          <t>IFL</t>
        </is>
      </c>
      <c r="G45" s="12">
        <f>IF(B45="Bay Area Panthers","vs "&amp;C45,IF(C45="Bay Area Panthers","@ "&amp;B45,""))</f>
        <v/>
      </c>
      <c r="H45" s="17" t="inlineStr">
        <is>
          <t>W, 51-12</t>
        </is>
      </c>
      <c r="I45" s="21" t="n"/>
      <c r="J45" s="21" t="n"/>
      <c r="K45" s="21" t="n"/>
      <c r="N45" s="5" t="n"/>
      <c r="O45" s="5" t="n"/>
      <c r="P45" s="8" t="n"/>
      <c r="Q45" s="21" t="n"/>
      <c r="R45" s="21" t="n"/>
      <c r="S45" s="21" t="n"/>
    </row>
    <row r="46">
      <c r="A46" s="1" t="n">
        <v>45459</v>
      </c>
      <c r="B46" s="21" t="inlineStr">
        <is>
          <t>Bay Area Panthers</t>
        </is>
      </c>
      <c r="C46" s="21" t="inlineStr">
        <is>
          <t>San Diego Strike Force</t>
        </is>
      </c>
      <c r="D46" s="5" t="inlineStr">
        <is>
          <t>Week 14</t>
        </is>
      </c>
      <c r="E46" s="12" t="inlineStr">
        <is>
          <t>Sunday</t>
        </is>
      </c>
      <c r="F46" s="21" t="inlineStr">
        <is>
          <t>IFL</t>
        </is>
      </c>
      <c r="G46" s="12">
        <f>IF(B46="Bay Area Panthers","vs "&amp;C46,IF(C46="Bay Area Panthers","@ "&amp;B46,""))</f>
        <v/>
      </c>
      <c r="H46" s="17" t="inlineStr">
        <is>
          <t>L, 42-43</t>
        </is>
      </c>
      <c r="I46" s="21" t="n"/>
      <c r="J46" s="21" t="n"/>
      <c r="K46" s="21" t="n"/>
      <c r="N46" s="5" t="n"/>
      <c r="O46" s="5" t="n"/>
      <c r="P46" s="8" t="n"/>
      <c r="Q46" s="21" t="n"/>
      <c r="R46" s="21" t="n"/>
      <c r="S46" s="21" t="n"/>
    </row>
    <row r="47">
      <c r="A47" s="1" t="n">
        <v>45465</v>
      </c>
      <c r="B47" s="21" t="inlineStr">
        <is>
          <t>Duke City Gladiators</t>
        </is>
      </c>
      <c r="C47" s="21" t="inlineStr">
        <is>
          <t>Bay Area Panthers</t>
        </is>
      </c>
      <c r="D47" s="5" t="inlineStr">
        <is>
          <t>Week 15</t>
        </is>
      </c>
      <c r="E47" s="12" t="inlineStr">
        <is>
          <t>Saturday</t>
        </is>
      </c>
      <c r="F47" s="21" t="inlineStr">
        <is>
          <t>IFL</t>
        </is>
      </c>
      <c r="G47" s="12">
        <f>IF(B47="Bay Area Panthers","vs "&amp;C47,IF(C47="Bay Area Panthers","@ "&amp;B47,""))</f>
        <v/>
      </c>
      <c r="H47" s="17" t="inlineStr">
        <is>
          <t>W, 34-32</t>
        </is>
      </c>
      <c r="I47" s="21" t="n"/>
      <c r="J47" s="21" t="n"/>
      <c r="K47" s="21" t="n"/>
      <c r="N47" s="8" t="n"/>
      <c r="O47" s="5" t="n"/>
      <c r="P47" s="8" t="n"/>
      <c r="Q47" s="21" t="n"/>
      <c r="R47" s="21" t="n"/>
      <c r="S47" s="21" t="n"/>
    </row>
    <row r="48">
      <c r="A48" s="1" t="n">
        <v>45472</v>
      </c>
      <c r="B48" s="21" t="inlineStr">
        <is>
          <t>Vegas Knight Hawks</t>
        </is>
      </c>
      <c r="C48" s="21" t="inlineStr">
        <is>
          <t>Bay Area Panthers</t>
        </is>
      </c>
      <c r="D48" s="5" t="inlineStr">
        <is>
          <t>Week 16</t>
        </is>
      </c>
      <c r="E48" s="12" t="inlineStr">
        <is>
          <t>Saturday</t>
        </is>
      </c>
      <c r="F48" s="21" t="inlineStr">
        <is>
          <t>IFL</t>
        </is>
      </c>
      <c r="G48" s="12">
        <f>IF(B48="Bay Area Panthers","vs "&amp;C48,IF(C48="Bay Area Panthers","@ "&amp;B48,""))</f>
        <v/>
      </c>
      <c r="H48" s="17" t="inlineStr">
        <is>
          <t>W, 37-35</t>
        </is>
      </c>
      <c r="I48" s="21" t="n"/>
      <c r="J48" s="21" t="n"/>
      <c r="K48" s="21" t="n"/>
      <c r="N48" s="5" t="n"/>
      <c r="O48" s="5" t="n"/>
      <c r="P48" s="8" t="n"/>
      <c r="Q48" s="21" t="n"/>
      <c r="R48" s="21" t="n"/>
      <c r="S48" s="21" t="n"/>
    </row>
    <row r="49">
      <c r="A49" s="1" t="n">
        <v>45480</v>
      </c>
      <c r="B49" s="21" t="inlineStr">
        <is>
          <t>Bay Area Panthers</t>
        </is>
      </c>
      <c r="C49" s="21" t="inlineStr">
        <is>
          <t>Northern Arizona Wranglers</t>
        </is>
      </c>
      <c r="D49" s="5" t="inlineStr">
        <is>
          <t>Week 17</t>
        </is>
      </c>
      <c r="E49" s="12" t="inlineStr">
        <is>
          <t>Sunday</t>
        </is>
      </c>
      <c r="F49" s="21" t="inlineStr">
        <is>
          <t>IFL</t>
        </is>
      </c>
      <c r="G49" s="12">
        <f>IF(B49="Bay Area Panthers","vs "&amp;C49,IF(C49="Bay Area Panthers","@ "&amp;B49,""))</f>
        <v/>
      </c>
      <c r="H49" s="17" t="inlineStr">
        <is>
          <t>L, 46-47</t>
        </is>
      </c>
      <c r="I49" s="21" t="n"/>
      <c r="J49" s="21" t="n"/>
      <c r="K49" s="21" t="n"/>
      <c r="N49" s="5" t="n"/>
      <c r="O49" s="5" t="n"/>
      <c r="P49" s="8" t="n"/>
      <c r="Q49" s="21" t="n"/>
      <c r="R49" s="21" t="n"/>
      <c r="S49" s="21" t="n"/>
    </row>
    <row r="50">
      <c r="A50" s="1" t="n">
        <v>45486</v>
      </c>
      <c r="B50" s="21" t="inlineStr">
        <is>
          <t>Bay Area Panthers</t>
        </is>
      </c>
      <c r="C50" s="21" t="inlineStr">
        <is>
          <t>Duke City Gladiators</t>
        </is>
      </c>
      <c r="D50" s="5" t="inlineStr">
        <is>
          <t>Week 18</t>
        </is>
      </c>
      <c r="E50" s="12" t="inlineStr">
        <is>
          <t>Saturday</t>
        </is>
      </c>
      <c r="F50" s="21" t="inlineStr">
        <is>
          <t>IFL</t>
        </is>
      </c>
      <c r="G50" s="12">
        <f>IF(B50="Bay Area Panthers","vs "&amp;C50,IF(C50="Bay Area Panthers","@ "&amp;B50,""))</f>
        <v/>
      </c>
      <c r="H50" s="17" t="inlineStr">
        <is>
          <t>W, 50-28</t>
        </is>
      </c>
      <c r="I50" s="21" t="n"/>
      <c r="J50" s="21" t="n"/>
      <c r="K50" s="21" t="n"/>
      <c r="N50" s="5" t="n"/>
      <c r="O50" s="8" t="n"/>
      <c r="P50" s="8" t="n"/>
      <c r="Q50" s="21" t="n"/>
      <c r="R50" s="21" t="n"/>
      <c r="S50" s="21" t="n"/>
    </row>
    <row r="51">
      <c r="A51" s="1" t="n">
        <v>45493</v>
      </c>
      <c r="B51" s="21" t="inlineStr">
        <is>
          <t>San Diego Strike Force</t>
        </is>
      </c>
      <c r="C51" s="21" t="inlineStr">
        <is>
          <t>Bay Area Panthers</t>
        </is>
      </c>
      <c r="D51" s="5" t="inlineStr">
        <is>
          <t>Week 19</t>
        </is>
      </c>
      <c r="E51" s="12" t="inlineStr">
        <is>
          <t>Saturday</t>
        </is>
      </c>
      <c r="F51" s="21" t="inlineStr">
        <is>
          <t>IFL</t>
        </is>
      </c>
      <c r="G51" s="12">
        <f>IF(B51="Bay Area Panthers","vs "&amp;C51,IF(C51="Bay Area Panthers","@ "&amp;B51,""))</f>
        <v/>
      </c>
      <c r="H51" s="17" t="inlineStr">
        <is>
          <t>W, 30-20</t>
        </is>
      </c>
      <c r="I51" s="21" t="n"/>
      <c r="J51" s="21" t="n"/>
      <c r="K51" s="21" t="n"/>
      <c r="N51" s="5" t="n"/>
      <c r="O51" s="5" t="n"/>
      <c r="P51" s="8" t="n"/>
      <c r="Q51" s="21" t="n"/>
      <c r="R51" s="21" t="n"/>
      <c r="S51" s="21" t="n"/>
    </row>
    <row r="52">
      <c r="A52" s="1" t="n">
        <v>45501</v>
      </c>
      <c r="B52" s="21" t="inlineStr">
        <is>
          <t>Bay Area Panthers</t>
        </is>
      </c>
      <c r="C52" s="21" t="inlineStr">
        <is>
          <t>San Diego Strike Force</t>
        </is>
      </c>
      <c r="D52" s="5" t="inlineStr">
        <is>
          <t>Playoff Round 1</t>
        </is>
      </c>
      <c r="E52" s="12" t="inlineStr">
        <is>
          <t>Sunday</t>
        </is>
      </c>
      <c r="F52" s="21" t="inlineStr">
        <is>
          <t>IFL</t>
        </is>
      </c>
      <c r="G52" s="12">
        <f>IF(B52="Bay Area Panthers","vs "&amp;C52,IF(C52="Bay Area Panthers","@ "&amp;B52,""))</f>
        <v/>
      </c>
      <c r="H52" s="17" t="inlineStr">
        <is>
          <t>L, 40-49</t>
        </is>
      </c>
      <c r="I52" s="21" t="n"/>
      <c r="J52" s="21" t="n"/>
      <c r="K52" s="21" t="n"/>
      <c r="N52" s="5" t="n"/>
      <c r="O52" s="5" t="n"/>
      <c r="P52" s="8" t="n"/>
      <c r="Q52" s="21" t="n"/>
      <c r="R52" s="21" t="n"/>
      <c r="S52" s="21" t="n"/>
    </row>
    <row r="53">
      <c r="A53" s="1" t="n">
        <v>45746</v>
      </c>
      <c r="B53" s="21" t="inlineStr">
        <is>
          <t>Bay Area Panthers</t>
        </is>
      </c>
      <c r="C53" s="21" t="inlineStr">
        <is>
          <t>San Antonio Gunslingers</t>
        </is>
      </c>
      <c r="D53" s="5" t="inlineStr">
        <is>
          <t>Week 2</t>
        </is>
      </c>
      <c r="E53" s="12" t="inlineStr">
        <is>
          <t>Sunday</t>
        </is>
      </c>
      <c r="F53" s="21" t="inlineStr">
        <is>
          <t>IFL</t>
        </is>
      </c>
      <c r="G53" s="12">
        <f>IF(B53="Bay Area Panthers","vs "&amp;C53,IF(C53="Bay Area Panthers","@ "&amp;B53,""))</f>
        <v/>
      </c>
      <c r="H53" s="17" t="inlineStr">
        <is>
          <t>L, 21-28</t>
        </is>
      </c>
      <c r="I53" s="21" t="n"/>
      <c r="J53" s="21" t="n"/>
      <c r="K53" s="21" t="n"/>
      <c r="N53" s="5" t="n"/>
      <c r="O53" s="5" t="n"/>
      <c r="P53" s="8" t="n"/>
      <c r="Q53" s="21" t="n"/>
      <c r="R53" s="21" t="n"/>
      <c r="S53" s="21" t="n"/>
    </row>
    <row r="54">
      <c r="A54" s="1" t="n">
        <v>45752</v>
      </c>
      <c r="B54" s="21" t="inlineStr">
        <is>
          <t>Bay Area Panthers</t>
        </is>
      </c>
      <c r="C54" s="21" t="inlineStr">
        <is>
          <t>San Diego Strike Force</t>
        </is>
      </c>
      <c r="D54" s="5" t="inlineStr">
        <is>
          <t>Week 3</t>
        </is>
      </c>
      <c r="E54" s="12" t="inlineStr">
        <is>
          <t>Saturday</t>
        </is>
      </c>
      <c r="F54" s="21" t="inlineStr">
        <is>
          <t>IFL</t>
        </is>
      </c>
      <c r="G54" s="12">
        <f>IF(B54="Bay Area Panthers","vs "&amp;C54,IF(C54="Bay Area Panthers","@ "&amp;B54,""))</f>
        <v/>
      </c>
      <c r="H54" s="17" t="inlineStr">
        <is>
          <t>W, 41-18</t>
        </is>
      </c>
      <c r="I54" s="21" t="n"/>
      <c r="J54" s="21" t="n"/>
      <c r="K54" s="21" t="n"/>
      <c r="N54" s="5" t="n"/>
      <c r="O54" s="5" t="n"/>
      <c r="P54" s="8" t="n"/>
      <c r="Q54" s="21" t="n"/>
      <c r="R54" s="21" t="n"/>
      <c r="S54" s="21" t="n"/>
    </row>
    <row r="55">
      <c r="A55" s="1" t="n">
        <v>45759</v>
      </c>
      <c r="B55" s="21" t="inlineStr">
        <is>
          <t>Bay Area Panthers</t>
        </is>
      </c>
      <c r="C55" s="21" t="inlineStr">
        <is>
          <t>Northern Arizona Wranglers</t>
        </is>
      </c>
      <c r="D55" s="5" t="inlineStr">
        <is>
          <t>Week 4</t>
        </is>
      </c>
      <c r="E55" s="12" t="inlineStr">
        <is>
          <t>Saturday</t>
        </is>
      </c>
      <c r="F55" s="21" t="inlineStr">
        <is>
          <t>IFL</t>
        </is>
      </c>
      <c r="G55" s="12">
        <f>IF(B55="Bay Area Panthers","vs "&amp;C55,IF(C55="Bay Area Panthers","@ "&amp;B55,""))</f>
        <v/>
      </c>
      <c r="H55" s="17" t="inlineStr">
        <is>
          <t>W, 50-28</t>
        </is>
      </c>
      <c r="I55" s="21" t="n"/>
      <c r="J55" s="21" t="n"/>
      <c r="K55" s="21" t="n"/>
      <c r="N55" s="5" t="n"/>
      <c r="O55" s="5" t="n"/>
      <c r="P55" s="8" t="n"/>
      <c r="Q55" s="21" t="n"/>
      <c r="R55" s="21" t="n"/>
      <c r="S55" s="21" t="n"/>
    </row>
    <row r="56">
      <c r="A56" s="1" t="n">
        <v>45766</v>
      </c>
      <c r="B56" s="21" t="inlineStr">
        <is>
          <t>Fishers Freight</t>
        </is>
      </c>
      <c r="C56" s="21" t="inlineStr">
        <is>
          <t>Bay Area Panthers</t>
        </is>
      </c>
      <c r="D56" s="5" t="inlineStr">
        <is>
          <t>Week 5</t>
        </is>
      </c>
      <c r="E56" s="12" t="inlineStr">
        <is>
          <t>Saturday</t>
        </is>
      </c>
      <c r="F56" s="21" t="inlineStr">
        <is>
          <t>IFL</t>
        </is>
      </c>
      <c r="G56" s="12">
        <f>IF(B56="Bay Area Panthers","vs "&amp;C56,IF(C56="Bay Area Panthers","@ "&amp;B56,""))</f>
        <v/>
      </c>
      <c r="H56" s="17" t="inlineStr">
        <is>
          <t>W, 57-41</t>
        </is>
      </c>
      <c r="I56" s="21" t="n"/>
      <c r="J56" s="21" t="n"/>
      <c r="K56" s="21" t="n"/>
      <c r="N56" s="8" t="n"/>
      <c r="O56" s="5" t="n"/>
      <c r="P56" s="8" t="n"/>
      <c r="Q56" s="21" t="n"/>
      <c r="R56" s="21" t="n"/>
      <c r="S56" s="21" t="n"/>
    </row>
    <row r="57">
      <c r="A57" s="1" t="n">
        <v>45781</v>
      </c>
      <c r="B57" s="21" t="inlineStr">
        <is>
          <t>Bay Area Panthers</t>
        </is>
      </c>
      <c r="C57" s="21" t="inlineStr">
        <is>
          <t>San Diego Strike Force</t>
        </is>
      </c>
      <c r="D57" s="5" t="inlineStr">
        <is>
          <t>Week 7</t>
        </is>
      </c>
      <c r="E57" s="12" t="inlineStr">
        <is>
          <t>Sunday</t>
        </is>
      </c>
      <c r="F57" s="21" t="inlineStr">
        <is>
          <t>IFL</t>
        </is>
      </c>
      <c r="G57" s="12">
        <f>IF(B57="Bay Area Panthers","vs "&amp;C57,IF(C57="Bay Area Panthers","@ "&amp;B57,""))</f>
        <v/>
      </c>
      <c r="H57" s="17" t="inlineStr">
        <is>
          <t>W, 57-34</t>
        </is>
      </c>
      <c r="I57" s="21" t="n"/>
      <c r="J57" s="21" t="n"/>
      <c r="K57" s="21" t="n"/>
      <c r="N57" s="5" t="n"/>
      <c r="O57" s="5" t="n"/>
      <c r="P57" s="8" t="n"/>
      <c r="Q57" s="21" t="n"/>
      <c r="R57" s="21" t="n"/>
      <c r="S57" s="21" t="n"/>
    </row>
    <row r="58">
      <c r="A58" s="1" t="n">
        <v>45787</v>
      </c>
      <c r="B58" s="21" t="inlineStr">
        <is>
          <t>Arizona Rattlers</t>
        </is>
      </c>
      <c r="C58" s="21" t="inlineStr">
        <is>
          <t>Bay Area Panthers</t>
        </is>
      </c>
      <c r="D58" s="5" t="inlineStr">
        <is>
          <t>Week 8</t>
        </is>
      </c>
      <c r="E58" s="12" t="inlineStr">
        <is>
          <t>Saturday</t>
        </is>
      </c>
      <c r="F58" s="21" t="inlineStr">
        <is>
          <t>IFL</t>
        </is>
      </c>
      <c r="G58" s="12">
        <f>IF(B58="Bay Area Panthers","vs "&amp;C58,IF(C58="Bay Area Panthers","@ "&amp;B58,""))</f>
        <v/>
      </c>
      <c r="H58" s="17" t="inlineStr">
        <is>
          <t>L, 48-53</t>
        </is>
      </c>
      <c r="I58" s="21" t="n"/>
      <c r="J58" s="21" t="n"/>
      <c r="K58" s="21" t="n"/>
      <c r="N58" s="5" t="n"/>
      <c r="O58" s="5" t="n"/>
      <c r="P58" s="8" t="n"/>
      <c r="Q58" s="21" t="n"/>
      <c r="R58" s="21" t="n"/>
      <c r="S58" s="21" t="n"/>
    </row>
    <row r="59">
      <c r="A59" s="1" t="n">
        <v>45795</v>
      </c>
      <c r="B59" s="21" t="inlineStr">
        <is>
          <t>Bay Area Panthers</t>
        </is>
      </c>
      <c r="C59" s="21" t="inlineStr">
        <is>
          <t>Tucson Sugar Skulls</t>
        </is>
      </c>
      <c r="D59" s="5" t="inlineStr">
        <is>
          <t>Week 9</t>
        </is>
      </c>
      <c r="E59" s="12" t="inlineStr">
        <is>
          <t>Sunday</t>
        </is>
      </c>
      <c r="F59" s="21" t="inlineStr">
        <is>
          <t>IFL</t>
        </is>
      </c>
      <c r="G59" s="12">
        <f>IF(B59="Bay Area Panthers","vs "&amp;C59,IF(C59="Bay Area Panthers","@ "&amp;B59,""))</f>
        <v/>
      </c>
      <c r="H59" s="17" t="inlineStr">
        <is>
          <t>W, 68-57</t>
        </is>
      </c>
      <c r="I59" s="21" t="n"/>
      <c r="J59" s="21" t="n"/>
      <c r="K59" s="21" t="n"/>
      <c r="N59" s="5" t="n"/>
      <c r="O59" s="5" t="n"/>
      <c r="P59" s="8" t="n"/>
      <c r="Q59" s="21" t="n"/>
      <c r="R59" s="21" t="n"/>
      <c r="S59" s="21" t="n"/>
    </row>
    <row r="60">
      <c r="A60" s="1" t="n">
        <v>45801</v>
      </c>
      <c r="B60" s="21" t="inlineStr">
        <is>
          <t>San Antonio Gunslingers</t>
        </is>
      </c>
      <c r="C60" s="21" t="inlineStr">
        <is>
          <t>Bay Area Panthers</t>
        </is>
      </c>
      <c r="D60" s="5" t="inlineStr">
        <is>
          <t>Week 10</t>
        </is>
      </c>
      <c r="E60" s="12" t="inlineStr">
        <is>
          <t>Saturday</t>
        </is>
      </c>
      <c r="F60" s="21" t="inlineStr">
        <is>
          <t>IFL</t>
        </is>
      </c>
      <c r="G60" s="12">
        <f>IF(B60="Bay Area Panthers","vs "&amp;C60,IF(C60="Bay Area Panthers","@ "&amp;B60,""))</f>
        <v/>
      </c>
      <c r="H60" s="17" t="inlineStr">
        <is>
          <t>W, 55-26</t>
        </is>
      </c>
      <c r="I60" s="21" t="n"/>
      <c r="J60" s="21" t="n"/>
      <c r="K60" s="21" t="n"/>
      <c r="N60" s="5" t="n"/>
      <c r="O60" s="5" t="n"/>
      <c r="P60" s="8" t="n"/>
      <c r="Q60" s="21" t="n"/>
      <c r="R60" s="21" t="n"/>
      <c r="S60" s="21" t="n"/>
    </row>
    <row r="61">
      <c r="A61" s="1" t="n">
        <v>45815</v>
      </c>
      <c r="B61" s="21" t="inlineStr">
        <is>
          <t>Bay Area Panthers</t>
        </is>
      </c>
      <c r="C61" s="21" t="inlineStr">
        <is>
          <t>Tulsa Oilers</t>
        </is>
      </c>
      <c r="D61" s="5" t="inlineStr">
        <is>
          <t>Week 12</t>
        </is>
      </c>
      <c r="E61" s="12" t="inlineStr">
        <is>
          <t>Saturday</t>
        </is>
      </c>
      <c r="F61" s="21" t="inlineStr">
        <is>
          <t>IFL</t>
        </is>
      </c>
      <c r="G61" s="12">
        <f>IF(B61="Bay Area Panthers","vs "&amp;C61,IF(C61="Bay Area Panthers","@ "&amp;B61,""))</f>
        <v/>
      </c>
      <c r="H61" s="17" t="inlineStr">
        <is>
          <t>W, 44-41</t>
        </is>
      </c>
      <c r="I61" s="21" t="n"/>
      <c r="J61" s="21" t="n"/>
      <c r="K61" s="21" t="n"/>
      <c r="N61" s="5" t="n"/>
      <c r="O61" s="5" t="n"/>
      <c r="P61" s="8" t="n"/>
      <c r="Q61" s="21" t="n"/>
      <c r="R61" s="21" t="n"/>
      <c r="S61" s="21" t="n"/>
    </row>
    <row r="62">
      <c r="A62" s="1" t="n">
        <v>45822</v>
      </c>
      <c r="B62" s="21" t="inlineStr">
        <is>
          <t>Vegas Knight Hawks</t>
        </is>
      </c>
      <c r="C62" s="21" t="inlineStr">
        <is>
          <t>Bay Area Panthers</t>
        </is>
      </c>
      <c r="D62" s="5" t="inlineStr">
        <is>
          <t>Week 13</t>
        </is>
      </c>
      <c r="E62" s="12" t="inlineStr">
        <is>
          <t>Saturday</t>
        </is>
      </c>
      <c r="F62" s="21" t="inlineStr">
        <is>
          <t>IFL</t>
        </is>
      </c>
      <c r="G62" s="12">
        <f>IF(B62="Bay Area Panthers","vs "&amp;C62,IF(C62="Bay Area Panthers","@ "&amp;B62,""))</f>
        <v/>
      </c>
      <c r="H62" s="17" t="inlineStr">
        <is>
          <t>W, 44-31</t>
        </is>
      </c>
      <c r="I62" s="21" t="n"/>
      <c r="J62" s="21" t="n"/>
      <c r="K62" s="21" t="n"/>
      <c r="N62" s="5" t="n"/>
      <c r="O62" s="5" t="n"/>
      <c r="P62" s="8" t="n"/>
      <c r="Q62" s="21" t="n"/>
      <c r="R62" s="21" t="n"/>
      <c r="S62" s="21" t="n"/>
    </row>
    <row r="63">
      <c r="A63" s="1" t="n">
        <v>45829</v>
      </c>
      <c r="B63" s="21" t="inlineStr">
        <is>
          <t>Bay Area Panthers</t>
        </is>
      </c>
      <c r="C63" s="21" t="inlineStr">
        <is>
          <t>Arizona Rattlers</t>
        </is>
      </c>
      <c r="D63" s="5" t="inlineStr">
        <is>
          <t>Week 14</t>
        </is>
      </c>
      <c r="E63" s="12" t="inlineStr">
        <is>
          <t>Saturday</t>
        </is>
      </c>
      <c r="F63" s="21" t="inlineStr">
        <is>
          <t>IFL</t>
        </is>
      </c>
      <c r="G63" s="12">
        <f>IF(B63="Bay Area Panthers","vs "&amp;C63,IF(C63="Bay Area Panthers","@ "&amp;B63,""))</f>
        <v/>
      </c>
      <c r="H63" s="17" t="inlineStr">
        <is>
          <t>W, 37-24</t>
        </is>
      </c>
      <c r="I63" s="21" t="n"/>
      <c r="J63" s="21" t="n"/>
      <c r="K63" s="21" t="n"/>
      <c r="N63" s="5" t="n"/>
      <c r="O63" s="5" t="n"/>
      <c r="P63" s="8" t="n"/>
      <c r="Q63" s="21" t="n"/>
      <c r="R63" s="21" t="n"/>
      <c r="S63" s="21" t="n"/>
    </row>
    <row r="64">
      <c r="A64" s="1" t="n">
        <v>45836</v>
      </c>
      <c r="B64" s="21" t="inlineStr">
        <is>
          <t>Northern Arizona Wranglers</t>
        </is>
      </c>
      <c r="C64" s="21" t="inlineStr">
        <is>
          <t>Bay Area Panthers</t>
        </is>
      </c>
      <c r="D64" s="5" t="inlineStr">
        <is>
          <t>Week 15</t>
        </is>
      </c>
      <c r="E64" s="12" t="inlineStr">
        <is>
          <t>Saturday</t>
        </is>
      </c>
      <c r="F64" s="21" t="inlineStr">
        <is>
          <t>IFL</t>
        </is>
      </c>
      <c r="G64" s="12">
        <f>IF(B64="Bay Area Panthers","vs "&amp;C64,IF(C64="Bay Area Panthers","@ "&amp;B64,""))</f>
        <v/>
      </c>
      <c r="H64" s="17" t="inlineStr">
        <is>
          <t>W, 41-30</t>
        </is>
      </c>
      <c r="I64" s="21" t="n"/>
      <c r="J64" s="21" t="n"/>
      <c r="K64" s="21" t="n"/>
      <c r="N64" s="5" t="n"/>
      <c r="O64" s="5" t="n"/>
      <c r="P64" s="8" t="n"/>
      <c r="Q64" s="21" t="n"/>
      <c r="R64" s="21" t="n"/>
      <c r="S64" s="21" t="n"/>
    </row>
    <row r="65">
      <c r="A65" s="1" t="n">
        <v>45845</v>
      </c>
      <c r="B65" s="21" t="inlineStr">
        <is>
          <t>San Diego Strike Force</t>
        </is>
      </c>
      <c r="C65" s="21" t="inlineStr">
        <is>
          <t>Bay Area Panthers</t>
        </is>
      </c>
      <c r="D65" s="5" t="inlineStr">
        <is>
          <t>Week 16</t>
        </is>
      </c>
      <c r="E65" s="12" t="inlineStr">
        <is>
          <t>Monday</t>
        </is>
      </c>
      <c r="F65" s="21" t="inlineStr">
        <is>
          <t>IFL</t>
        </is>
      </c>
      <c r="G65" s="12">
        <f>IF(B65="Bay Area Panthers","vs "&amp;C65,IF(C65="Bay Area Panthers","@ "&amp;B65,""))</f>
        <v/>
      </c>
      <c r="H65" s="17" t="inlineStr">
        <is>
          <t>L, 38-46</t>
        </is>
      </c>
      <c r="I65" s="21" t="n"/>
      <c r="J65" s="21" t="n"/>
      <c r="K65" s="21" t="n"/>
      <c r="N65" s="5" t="n"/>
      <c r="O65" s="5" t="n"/>
      <c r="P65" s="8" t="n"/>
      <c r="Q65" s="21" t="n"/>
      <c r="R65" s="21" t="n"/>
      <c r="S65" s="21" t="n"/>
    </row>
    <row r="66">
      <c r="A66" s="1" t="n">
        <v>45849</v>
      </c>
      <c r="B66" s="21" t="inlineStr">
        <is>
          <t>Bay Area Panthers</t>
        </is>
      </c>
      <c r="C66" s="21" t="inlineStr">
        <is>
          <t>Vegas Knight Hawks</t>
        </is>
      </c>
      <c r="D66" s="5" t="inlineStr">
        <is>
          <t>Week 17</t>
        </is>
      </c>
      <c r="E66" s="12" t="inlineStr">
        <is>
          <t>Friday</t>
        </is>
      </c>
      <c r="F66" s="21" t="inlineStr">
        <is>
          <t>IFL</t>
        </is>
      </c>
      <c r="G66" s="12">
        <f>IF(B66="Bay Area Panthers","vs "&amp;C66,IF(C66="Bay Area Panthers","@ "&amp;B66,""))</f>
        <v/>
      </c>
      <c r="H66" s="17" t="inlineStr">
        <is>
          <t>W, 55-54</t>
        </is>
      </c>
      <c r="I66" s="21" t="n"/>
      <c r="J66" s="21" t="n"/>
      <c r="K66" s="21" t="n"/>
      <c r="N66" s="5" t="n"/>
      <c r="O66" s="5" t="n"/>
      <c r="P66" s="8" t="n"/>
      <c r="Q66" s="21" t="n"/>
      <c r="R66" s="21" t="n"/>
      <c r="S66" s="21" t="n"/>
    </row>
    <row r="67">
      <c r="A67" s="1" t="n">
        <v>45857</v>
      </c>
      <c r="B67" s="21" t="inlineStr">
        <is>
          <t>Tucson Sugar Skulls</t>
        </is>
      </c>
      <c r="C67" s="21" t="inlineStr">
        <is>
          <t>Bay Area Panthers</t>
        </is>
      </c>
      <c r="D67" s="5" t="inlineStr">
        <is>
          <t>Week 18</t>
        </is>
      </c>
      <c r="E67" s="12" t="inlineStr">
        <is>
          <t>Saturday</t>
        </is>
      </c>
      <c r="F67" s="21" t="inlineStr">
        <is>
          <t>IFL</t>
        </is>
      </c>
      <c r="G67" s="12">
        <f>IF(B67="Bay Area Panthers","vs "&amp;C67,IF(C67="Bay Area Panthers","@ "&amp;B67,""))</f>
        <v/>
      </c>
      <c r="H67" s="17" t="inlineStr">
        <is>
          <t>W, 49-24</t>
        </is>
      </c>
      <c r="I67" s="21" t="n"/>
      <c r="J67" s="21" t="n"/>
      <c r="K67" s="21" t="n"/>
      <c r="N67" s="5" t="n"/>
      <c r="O67" s="5" t="n"/>
      <c r="P67" s="8" t="n"/>
      <c r="Q67" s="21" t="n"/>
      <c r="R67" s="21" t="n"/>
      <c r="S67" s="21" t="n"/>
    </row>
    <row r="68">
      <c r="A68" s="1" t="n">
        <v>45863</v>
      </c>
      <c r="B68" s="21" t="inlineStr">
        <is>
          <t>Massachusetts Pirates</t>
        </is>
      </c>
      <c r="C68" s="21" t="inlineStr">
        <is>
          <t>Bay Area Panthers</t>
        </is>
      </c>
      <c r="D68" s="5" t="inlineStr">
        <is>
          <t>Week 19</t>
        </is>
      </c>
      <c r="E68" s="12" t="inlineStr">
        <is>
          <t>Friday</t>
        </is>
      </c>
      <c r="F68" s="21" t="inlineStr">
        <is>
          <t>IFL</t>
        </is>
      </c>
      <c r="G68" s="12">
        <f>IF(B68="Bay Area Panthers","vs "&amp;C68,IF(C68="Bay Area Panthers","@ "&amp;B68,""))</f>
        <v/>
      </c>
      <c r="H68" s="17" t="inlineStr">
        <is>
          <t>W, 45-30</t>
        </is>
      </c>
      <c r="I68" s="21" t="n"/>
      <c r="J68" s="21" t="n"/>
      <c r="K68" s="21" t="n"/>
      <c r="N68" s="5" t="n"/>
      <c r="O68" s="5" t="n"/>
      <c r="P68" s="8" t="n"/>
      <c r="Q68" s="21" t="n"/>
      <c r="R68" s="21" t="n"/>
      <c r="S68" s="21" t="n"/>
    </row>
    <row r="69">
      <c r="A69" s="1" t="n">
        <v>45872</v>
      </c>
      <c r="B69" s="21" t="inlineStr">
        <is>
          <t>Bay Area Panthers</t>
        </is>
      </c>
      <c r="C69" s="21" t="inlineStr">
        <is>
          <t>Vegas Knight Hawks</t>
        </is>
      </c>
      <c r="D69" s="5" t="inlineStr">
        <is>
          <t>Playoffs Round 1</t>
        </is>
      </c>
      <c r="E69" s="12" t="inlineStr">
        <is>
          <t>Sunday</t>
        </is>
      </c>
      <c r="F69" s="21" t="inlineStr">
        <is>
          <t>IFL</t>
        </is>
      </c>
      <c r="G69" s="12">
        <f>IF(B69="Bay Area Panthers","vs "&amp;C69,IF(C69="Bay Area Panthers","@ "&amp;B69,""))</f>
        <v/>
      </c>
      <c r="H69" s="17" t="inlineStr">
        <is>
          <t>L, 31-36</t>
        </is>
      </c>
      <c r="I69" s="21" t="n"/>
      <c r="J69" s="21" t="n"/>
      <c r="K69" s="21" t="n"/>
      <c r="N69" s="5" t="n"/>
      <c r="O69" s="5" t="n"/>
      <c r="P69" s="8" t="n"/>
      <c r="Q69" s="21" t="n"/>
      <c r="R69" s="21" t="n"/>
      <c r="S69" s="21" t="n"/>
    </row>
    <row r="70">
      <c r="A70" s="1" t="n"/>
      <c r="B70" s="21" t="n"/>
      <c r="C70" s="21" t="n"/>
      <c r="D70" s="21" t="n"/>
      <c r="E70" s="12" t="n"/>
      <c r="F70" s="21" t="n"/>
      <c r="G70" s="12" t="n"/>
      <c r="H70" s="18" t="n"/>
      <c r="I70" s="12" t="n"/>
    </row>
    <row r="71">
      <c r="A71" s="1" t="n"/>
      <c r="B71" s="21" t="n"/>
      <c r="C71" s="21" t="n"/>
      <c r="D71" s="21" t="n"/>
      <c r="E71" s="12" t="n"/>
      <c r="F71" s="21" t="n"/>
      <c r="G71" s="12" t="n"/>
      <c r="H71" s="18" t="n"/>
      <c r="I71" s="12" t="n"/>
    </row>
    <row r="72">
      <c r="A72" s="1" t="n"/>
      <c r="B72" s="21" t="n"/>
      <c r="C72" s="21" t="n"/>
      <c r="D72" s="5" t="n"/>
      <c r="E72" s="21" t="n"/>
      <c r="F72" s="21" t="n"/>
      <c r="G72" s="12" t="n"/>
      <c r="H72" s="18" t="n"/>
      <c r="I72" s="12" t="n"/>
    </row>
    <row r="73">
      <c r="A73" s="1" t="n"/>
      <c r="B73" s="21" t="n"/>
      <c r="C73" s="21" t="n"/>
      <c r="D73" s="5" t="n"/>
      <c r="E73" s="21" t="n"/>
      <c r="F73" s="21" t="n"/>
      <c r="G73" s="12" t="n"/>
      <c r="H73" s="18" t="n"/>
      <c r="I73" s="12" t="n"/>
    </row>
    <row r="74">
      <c r="A74" s="1" t="n"/>
      <c r="B74" s="21" t="n"/>
      <c r="C74" s="21" t="n"/>
      <c r="D74" s="5" t="n"/>
      <c r="E74" s="21" t="n"/>
      <c r="F74" s="21" t="n"/>
      <c r="G74" s="12" t="n"/>
      <c r="H74" s="18" t="n"/>
      <c r="I74" s="12" t="n"/>
    </row>
    <row r="75">
      <c r="A75" s="1" t="n"/>
      <c r="B75" s="21" t="n"/>
      <c r="C75" s="21" t="n"/>
      <c r="D75" s="5" t="n"/>
      <c r="E75" s="21" t="n"/>
      <c r="F75" s="21" t="n"/>
      <c r="G75" s="12" t="n"/>
      <c r="H75" s="18" t="n"/>
      <c r="I75" s="12" t="n"/>
      <c r="J75" s="12" t="n"/>
    </row>
    <row r="76">
      <c r="A76" s="1" t="n"/>
      <c r="B76" s="21" t="n"/>
      <c r="C76" s="21" t="n"/>
      <c r="D76" s="5" t="n"/>
      <c r="E76" s="21" t="n"/>
      <c r="F76" s="21" t="n"/>
      <c r="G76" s="12" t="n"/>
      <c r="H76" s="18" t="n"/>
      <c r="I76" s="12" t="n"/>
      <c r="J76" s="12" t="n"/>
    </row>
    <row r="77">
      <c r="A77" s="1" t="n"/>
      <c r="B77" s="21" t="n"/>
      <c r="C77" s="21" t="n"/>
      <c r="D77" s="5" t="n"/>
      <c r="E77" s="21" t="n"/>
      <c r="F77" s="21" t="n"/>
      <c r="G77" s="12" t="n"/>
      <c r="H77" s="18" t="n"/>
      <c r="I77" s="12" t="n"/>
      <c r="J77" s="12" t="n"/>
    </row>
    <row r="78">
      <c r="A78" s="1" t="n"/>
      <c r="B78" s="21" t="n"/>
      <c r="C78" s="21" t="n"/>
      <c r="D78" s="5" t="n"/>
      <c r="E78" s="21" t="n"/>
      <c r="F78" s="21" t="n"/>
      <c r="G78" s="12" t="n"/>
      <c r="H78" s="18" t="n"/>
      <c r="I78" s="12" t="n"/>
      <c r="J78" s="12" t="n"/>
    </row>
    <row r="79">
      <c r="A79" s="1" t="n"/>
      <c r="B79" s="21" t="n"/>
      <c r="C79" s="21" t="n"/>
      <c r="D79" s="5" t="n"/>
      <c r="E79" s="21" t="n"/>
      <c r="F79" s="21" t="n"/>
      <c r="G79" s="12" t="n"/>
      <c r="H79" s="18" t="n"/>
      <c r="I79" s="12" t="n"/>
      <c r="J79" s="12" t="n"/>
    </row>
    <row r="80">
      <c r="A80" s="1" t="n"/>
      <c r="B80" s="21" t="n"/>
      <c r="C80" s="21" t="n"/>
      <c r="D80" s="5" t="n"/>
      <c r="E80" s="21" t="n"/>
      <c r="F80" s="21" t="n"/>
      <c r="G80" s="12" t="n"/>
      <c r="H80" s="18" t="n"/>
      <c r="I80" s="12" t="n"/>
      <c r="J80" s="12" t="n"/>
    </row>
    <row r="81">
      <c r="A81" s="1" t="n"/>
      <c r="B81" s="21" t="n"/>
      <c r="C81" s="21" t="n"/>
      <c r="D81" s="5" t="n"/>
      <c r="E81" s="21" t="n"/>
      <c r="F81" s="21" t="n"/>
      <c r="G81" s="12" t="n"/>
      <c r="H81" s="18" t="n"/>
      <c r="I81" s="12" t="n"/>
      <c r="J81" s="12" t="n"/>
    </row>
    <row r="82">
      <c r="A82" s="1" t="n"/>
      <c r="B82" s="21" t="n"/>
      <c r="C82" s="21" t="n"/>
      <c r="D82" s="5" t="n"/>
      <c r="E82" s="21" t="n"/>
      <c r="F82" s="21" t="n"/>
      <c r="G82" s="12" t="n"/>
      <c r="H82" s="18" t="n"/>
      <c r="I82" s="12" t="n"/>
      <c r="J82" s="12" t="n"/>
    </row>
    <row r="83">
      <c r="A83" s="1" t="n"/>
      <c r="B83" s="21" t="n"/>
      <c r="C83" s="21" t="n"/>
      <c r="D83" s="5" t="n"/>
      <c r="E83" s="21" t="n"/>
      <c r="F83" s="21" t="n"/>
      <c r="G83" s="12" t="n"/>
      <c r="H83" s="18" t="n"/>
      <c r="I83" s="12" t="n"/>
      <c r="J83" s="12" t="n"/>
    </row>
    <row r="84">
      <c r="A84" s="1" t="n"/>
      <c r="B84" s="21" t="n"/>
      <c r="C84" s="21" t="n"/>
      <c r="D84" s="5" t="n"/>
      <c r="E84" s="21" t="n"/>
      <c r="F84" s="21" t="n"/>
      <c r="G84" s="12" t="n"/>
      <c r="H84" s="18" t="n"/>
      <c r="I84" s="12" t="n"/>
      <c r="J84" s="12" t="n"/>
    </row>
    <row r="85">
      <c r="A85" s="1" t="n"/>
      <c r="B85" s="21" t="n"/>
      <c r="C85" s="21" t="n"/>
      <c r="D85" s="5" t="n"/>
      <c r="E85" s="21" t="n"/>
      <c r="F85" s="21" t="n"/>
      <c r="G85" s="12" t="n"/>
      <c r="H85" s="18" t="n"/>
      <c r="I85" s="12" t="n"/>
      <c r="J85" s="12" t="n"/>
    </row>
    <row r="86">
      <c r="A86" s="1" t="n"/>
      <c r="B86" s="21" t="n"/>
      <c r="C86" s="21" t="n"/>
      <c r="D86" s="5" t="n"/>
      <c r="E86" s="21" t="n"/>
      <c r="F86" s="21" t="n"/>
      <c r="G86" s="12" t="n"/>
      <c r="H86" s="18" t="n"/>
      <c r="I86" s="12" t="n"/>
      <c r="J86" s="12" t="n"/>
    </row>
    <row r="87">
      <c r="A87" s="1" t="n"/>
      <c r="B87" s="21" t="n"/>
      <c r="C87" s="21" t="n"/>
      <c r="D87" s="5" t="n"/>
      <c r="E87" s="21" t="n"/>
      <c r="F87" s="21" t="n"/>
      <c r="G87" s="12" t="n"/>
      <c r="H87" s="18" t="n"/>
      <c r="I87" s="12" t="n"/>
      <c r="J87" s="12" t="n"/>
    </row>
    <row r="88">
      <c r="A88" s="1" t="n"/>
      <c r="B88" s="21" t="n"/>
      <c r="C88" s="21" t="n"/>
      <c r="D88" s="5" t="n"/>
      <c r="E88" s="21" t="n"/>
      <c r="F88" s="21" t="n"/>
      <c r="G88" s="12" t="n"/>
      <c r="H88" s="18" t="n"/>
      <c r="I88" s="12" t="n"/>
      <c r="J88" s="12" t="n"/>
    </row>
    <row r="89">
      <c r="A89" s="1" t="n"/>
      <c r="B89" s="21" t="n"/>
      <c r="C89" s="21" t="n"/>
      <c r="D89" s="5" t="n"/>
      <c r="E89" s="21" t="n"/>
      <c r="F89" s="21" t="n"/>
      <c r="G89" s="12" t="n"/>
      <c r="H89" s="18" t="n"/>
      <c r="I89" s="12" t="n"/>
      <c r="J89" s="12" t="n"/>
    </row>
    <row r="90">
      <c r="A90" s="1" t="n"/>
      <c r="B90" s="21" t="n"/>
      <c r="C90" s="21" t="n"/>
      <c r="D90" s="5" t="n"/>
      <c r="E90" s="21" t="n"/>
      <c r="F90" s="21" t="n"/>
      <c r="G90" s="12" t="n"/>
      <c r="H90" s="18" t="n"/>
      <c r="I90" s="12" t="n"/>
      <c r="J90" s="12" t="n"/>
    </row>
    <row r="91">
      <c r="A91" s="1" t="n"/>
      <c r="B91" s="21" t="n"/>
      <c r="C91" s="21" t="n"/>
      <c r="D91" s="5" t="n"/>
      <c r="E91" s="21" t="n"/>
      <c r="F91" s="21" t="n"/>
      <c r="G91" s="12" t="n"/>
      <c r="H91" s="18" t="n"/>
      <c r="I91" s="12" t="n"/>
      <c r="J91" s="12" t="n"/>
    </row>
    <row r="92">
      <c r="A92" s="1" t="n"/>
      <c r="B92" s="21" t="n"/>
      <c r="C92" s="21" t="n"/>
      <c r="D92" s="5" t="n"/>
      <c r="E92" s="21" t="n"/>
      <c r="F92" s="21" t="n"/>
      <c r="G92" s="12" t="n"/>
      <c r="H92" s="18" t="n"/>
      <c r="I92" s="12" t="n"/>
      <c r="J92" s="12" t="n"/>
    </row>
    <row r="93">
      <c r="A93" s="1" t="n"/>
      <c r="B93" s="21" t="n"/>
      <c r="C93" s="21" t="n"/>
      <c r="D93" s="5" t="n"/>
      <c r="E93" s="21" t="n"/>
      <c r="F93" s="21" t="n"/>
      <c r="G93" s="12" t="n"/>
      <c r="H93" s="18" t="n"/>
      <c r="I93" s="12" t="n"/>
      <c r="J93" s="12" t="n"/>
    </row>
    <row r="94">
      <c r="A94" s="1" t="n"/>
      <c r="B94" s="21" t="n"/>
      <c r="C94" s="21" t="n"/>
      <c r="D94" s="5" t="n"/>
      <c r="E94" s="21" t="n"/>
      <c r="F94" s="21" t="n"/>
      <c r="G94" s="12" t="n"/>
      <c r="H94" s="18" t="n"/>
      <c r="I94" s="12" t="n"/>
      <c r="J94" s="12" t="n"/>
    </row>
    <row r="95">
      <c r="A95" s="1" t="n"/>
      <c r="B95" s="21" t="n"/>
      <c r="C95" s="21" t="n"/>
      <c r="D95" s="5" t="n"/>
      <c r="E95" s="21" t="n"/>
      <c r="F95" s="21" t="n"/>
      <c r="G95" s="12" t="n"/>
      <c r="H95" s="18" t="n"/>
      <c r="I95" s="12" t="n"/>
      <c r="J95" s="12" t="n"/>
    </row>
    <row r="96">
      <c r="A96" s="1" t="n"/>
      <c r="B96" s="21" t="n"/>
      <c r="C96" s="21" t="n"/>
      <c r="D96" s="5" t="n"/>
      <c r="E96" s="21" t="n"/>
      <c r="F96" s="21" t="n"/>
      <c r="G96" s="12" t="n"/>
      <c r="H96" s="18" t="n"/>
      <c r="I96" s="12" t="n"/>
      <c r="J96" s="12" t="n"/>
    </row>
    <row r="97">
      <c r="A97" s="1" t="n"/>
      <c r="B97" s="21" t="n"/>
      <c r="C97" s="21" t="n"/>
      <c r="D97" s="5" t="n"/>
      <c r="E97" s="21" t="n"/>
      <c r="F97" s="21" t="n"/>
      <c r="G97" s="12" t="n"/>
      <c r="H97" s="18" t="n"/>
      <c r="I97" s="12" t="n"/>
      <c r="J97" s="12" t="n"/>
    </row>
    <row r="98">
      <c r="A98" s="1" t="n"/>
      <c r="B98" s="21" t="n"/>
      <c r="C98" s="21" t="n"/>
      <c r="D98" s="5" t="n"/>
      <c r="E98" s="21" t="n"/>
      <c r="F98" s="21" t="n"/>
      <c r="G98" s="12" t="n"/>
      <c r="H98" s="18" t="n"/>
      <c r="I98" s="12" t="n"/>
      <c r="J98" s="12" t="n"/>
    </row>
    <row r="99">
      <c r="A99" s="1" t="n"/>
      <c r="B99" s="21" t="n"/>
      <c r="C99" s="21" t="n"/>
      <c r="D99" s="5" t="n"/>
      <c r="E99" s="21" t="n"/>
      <c r="F99" s="21" t="n"/>
      <c r="G99" s="12" t="n"/>
      <c r="H99" s="18" t="n"/>
      <c r="I99" s="12" t="n"/>
      <c r="J99" s="12" t="n"/>
    </row>
    <row r="100">
      <c r="A100" s="19" t="n"/>
      <c r="B100" s="21" t="n"/>
      <c r="C100" s="21" t="n"/>
      <c r="D100" s="5" t="n"/>
      <c r="E100" s="21" t="n"/>
      <c r="F100" s="21" t="n"/>
      <c r="G100" s="12" t="n"/>
      <c r="H100" s="18" t="n"/>
      <c r="I100" s="12" t="n"/>
      <c r="J100" s="12" t="n"/>
    </row>
    <row r="101">
      <c r="A101" s="19" t="n"/>
      <c r="B101" s="21" t="n"/>
      <c r="C101" s="21" t="n"/>
      <c r="D101" s="5" t="n"/>
      <c r="E101" s="21" t="n"/>
      <c r="F101" s="21" t="n"/>
      <c r="G101" s="12" t="n"/>
      <c r="H101" s="18" t="n"/>
      <c r="I101" s="12" t="n"/>
      <c r="J101" s="12" t="n"/>
    </row>
    <row r="102">
      <c r="H102" s="20" t="n"/>
    </row>
    <row r="103">
      <c r="H103" s="20" t="n"/>
    </row>
    <row r="104">
      <c r="H104" s="20" t="n"/>
    </row>
    <row r="105">
      <c r="H105" s="20" t="n"/>
    </row>
    <row r="106">
      <c r="H106" s="20" t="n"/>
    </row>
    <row r="107">
      <c r="H107" s="20" t="n"/>
    </row>
    <row r="108">
      <c r="H108" s="20" t="n"/>
    </row>
    <row r="109">
      <c r="H109" s="20" t="n"/>
    </row>
    <row r="110">
      <c r="H110" s="20" t="n"/>
    </row>
    <row r="111">
      <c r="H111" s="20" t="n"/>
    </row>
    <row r="112">
      <c r="H112" s="20" t="n"/>
    </row>
    <row r="113">
      <c r="H113" s="20" t="n"/>
    </row>
    <row r="114">
      <c r="H114" s="20" t="n"/>
    </row>
    <row r="115">
      <c r="H115" s="20" t="n"/>
    </row>
    <row r="116">
      <c r="H116" s="20" t="n"/>
    </row>
    <row r="117">
      <c r="H117" s="20" t="n"/>
    </row>
    <row r="118">
      <c r="H118" s="20" t="n"/>
    </row>
    <row r="119">
      <c r="H119" s="20" t="n"/>
    </row>
    <row r="120">
      <c r="H120" s="20" t="n"/>
    </row>
    <row r="121">
      <c r="H121" s="20" t="n"/>
    </row>
    <row r="122">
      <c r="H122" s="20" t="n"/>
    </row>
    <row r="123">
      <c r="H123" s="20" t="n"/>
    </row>
    <row r="124">
      <c r="H124" s="20" t="n"/>
    </row>
    <row r="125">
      <c r="H125" s="20" t="n"/>
    </row>
    <row r="126">
      <c r="H126" s="20" t="n"/>
    </row>
    <row r="127">
      <c r="H127" s="20" t="n"/>
    </row>
    <row r="128">
      <c r="H128" s="20" t="n"/>
    </row>
    <row r="129">
      <c r="H129" s="20" t="n"/>
    </row>
    <row r="130">
      <c r="H130" s="20" t="n"/>
    </row>
    <row r="131">
      <c r="H131" s="20" t="n"/>
    </row>
    <row r="132">
      <c r="H132" s="20" t="n"/>
    </row>
    <row r="133">
      <c r="H133" s="20" t="n"/>
    </row>
    <row r="134">
      <c r="H134" s="20" t="n"/>
    </row>
    <row r="135">
      <c r="H135" s="20" t="n"/>
    </row>
    <row r="136">
      <c r="H136" s="20" t="n"/>
    </row>
    <row r="137">
      <c r="H137" s="20" t="n"/>
    </row>
    <row r="138">
      <c r="H138" s="20" t="n"/>
    </row>
    <row r="139">
      <c r="H139" s="20" t="n"/>
    </row>
    <row r="140">
      <c r="H140" s="20" t="n"/>
    </row>
    <row r="141">
      <c r="H141" s="20" t="n"/>
    </row>
    <row r="142">
      <c r="H142" s="20" t="n"/>
    </row>
    <row r="143">
      <c r="H143" s="20" t="n"/>
    </row>
    <row r="144">
      <c r="H144" s="20" t="n"/>
    </row>
    <row r="145">
      <c r="H145" s="20" t="n"/>
    </row>
    <row r="146">
      <c r="H146" s="20" t="n"/>
    </row>
    <row r="147">
      <c r="H147" s="20" t="n"/>
    </row>
    <row r="148">
      <c r="H148" s="20" t="n"/>
    </row>
    <row r="149">
      <c r="H149" s="20" t="n"/>
    </row>
    <row r="150">
      <c r="H150" s="20" t="n"/>
    </row>
    <row r="151">
      <c r="H151" s="20" t="n"/>
    </row>
    <row r="152">
      <c r="H152" s="20" t="n"/>
    </row>
    <row r="153">
      <c r="H153" s="20" t="n"/>
    </row>
    <row r="154">
      <c r="H154" s="20" t="n"/>
    </row>
    <row r="155">
      <c r="H155" s="20" t="n"/>
    </row>
    <row r="156">
      <c r="H156" s="20" t="n"/>
    </row>
    <row r="157">
      <c r="H157" s="20" t="n"/>
    </row>
    <row r="158">
      <c r="H158" s="20" t="n"/>
    </row>
    <row r="159">
      <c r="H159" s="20" t="n"/>
    </row>
    <row r="160">
      <c r="H160" s="20" t="n"/>
    </row>
    <row r="161">
      <c r="H161" s="20" t="n"/>
    </row>
    <row r="162">
      <c r="H162" s="20" t="n"/>
    </row>
    <row r="163">
      <c r="H163" s="20" t="n"/>
    </row>
    <row r="164">
      <c r="H164" s="20" t="n"/>
    </row>
    <row r="165">
      <c r="H165" s="20" t="n"/>
    </row>
    <row r="166">
      <c r="H166" s="20" t="n"/>
    </row>
    <row r="167">
      <c r="H167" s="20" t="n"/>
    </row>
    <row r="168">
      <c r="H168" s="20" t="n"/>
    </row>
    <row r="169">
      <c r="H169" s="20" t="n"/>
    </row>
    <row r="170">
      <c r="H170" s="20" t="n"/>
    </row>
    <row r="171">
      <c r="H171" s="20" t="n"/>
    </row>
    <row r="172">
      <c r="H172" s="20" t="n"/>
    </row>
    <row r="173">
      <c r="H173" s="20" t="n"/>
    </row>
    <row r="174">
      <c r="H174" s="20" t="n"/>
    </row>
    <row r="175">
      <c r="H175" s="20" t="n"/>
    </row>
    <row r="176">
      <c r="H176" s="20" t="n"/>
    </row>
    <row r="177">
      <c r="H177" s="20" t="n"/>
    </row>
    <row r="178">
      <c r="H178" s="20" t="n"/>
    </row>
    <row r="179">
      <c r="H179" s="20" t="n"/>
    </row>
    <row r="180">
      <c r="H180" s="20" t="n"/>
    </row>
    <row r="181">
      <c r="H181" s="20" t="n"/>
    </row>
    <row r="182">
      <c r="H182" s="20" t="n"/>
    </row>
    <row r="183">
      <c r="H183" s="20" t="n"/>
    </row>
    <row r="184">
      <c r="H184" s="20" t="n"/>
    </row>
    <row r="185">
      <c r="H185" s="20" t="n"/>
    </row>
    <row r="186">
      <c r="H186" s="20" t="n"/>
    </row>
    <row r="187">
      <c r="H187" s="20" t="n"/>
    </row>
    <row r="188">
      <c r="H188" s="20" t="n"/>
    </row>
    <row r="189">
      <c r="H189" s="20" t="n"/>
    </row>
    <row r="190">
      <c r="H190" s="20" t="n"/>
    </row>
    <row r="191">
      <c r="H191" s="20" t="n"/>
    </row>
    <row r="192">
      <c r="H192" s="20" t="n"/>
    </row>
    <row r="193">
      <c r="H193" s="20" t="n"/>
    </row>
    <row r="194">
      <c r="H194" s="20" t="n"/>
    </row>
    <row r="195">
      <c r="H195" s="20" t="n"/>
    </row>
    <row r="196">
      <c r="H196" s="20" t="n"/>
    </row>
    <row r="197">
      <c r="H197" s="20" t="n"/>
    </row>
    <row r="198">
      <c r="H198" s="20" t="n"/>
    </row>
    <row r="199">
      <c r="H199" s="20" t="n"/>
    </row>
    <row r="200">
      <c r="H200" s="20" t="n"/>
    </row>
    <row r="201">
      <c r="H201" s="20" t="n"/>
    </row>
    <row r="202">
      <c r="H202" s="20" t="n"/>
    </row>
    <row r="203">
      <c r="H203" s="20" t="n"/>
    </row>
    <row r="204">
      <c r="H204" s="20" t="n"/>
    </row>
    <row r="205">
      <c r="H205" s="20" t="n"/>
    </row>
    <row r="206">
      <c r="H206" s="20" t="n"/>
    </row>
    <row r="207">
      <c r="H207" s="20" t="n"/>
    </row>
    <row r="208">
      <c r="H208" s="20" t="n"/>
    </row>
    <row r="209">
      <c r="H209" s="20" t="n"/>
    </row>
    <row r="210">
      <c r="H210" s="20" t="n"/>
    </row>
    <row r="211">
      <c r="H211" s="20" t="n"/>
    </row>
    <row r="212">
      <c r="H212" s="20" t="n"/>
    </row>
    <row r="213">
      <c r="H213" s="20" t="n"/>
    </row>
    <row r="214">
      <c r="H214" s="20" t="n"/>
    </row>
    <row r="215">
      <c r="H215" s="20" t="n"/>
    </row>
    <row r="216">
      <c r="H216" s="20" t="n"/>
    </row>
    <row r="217">
      <c r="H217" s="20" t="n"/>
    </row>
    <row r="218">
      <c r="H218" s="20" t="n"/>
    </row>
    <row r="219">
      <c r="H219" s="20" t="n"/>
    </row>
    <row r="220">
      <c r="H220" s="20" t="n"/>
    </row>
    <row r="221">
      <c r="H221" s="20" t="n"/>
    </row>
    <row r="222">
      <c r="H222" s="20" t="n"/>
    </row>
    <row r="223">
      <c r="H223" s="20" t="n"/>
    </row>
    <row r="224">
      <c r="H224" s="20" t="n"/>
    </row>
    <row r="225">
      <c r="H225" s="20" t="n"/>
    </row>
    <row r="226">
      <c r="H226" s="20" t="n"/>
    </row>
    <row r="227">
      <c r="H227" s="20" t="n"/>
    </row>
    <row r="228">
      <c r="H228" s="20" t="n"/>
    </row>
    <row r="229">
      <c r="H229" s="20" t="n"/>
    </row>
    <row r="230">
      <c r="H230" s="20" t="n"/>
    </row>
    <row r="231">
      <c r="H231" s="20" t="n"/>
    </row>
    <row r="232">
      <c r="H232" s="20" t="n"/>
    </row>
    <row r="233">
      <c r="H233" s="20" t="n"/>
    </row>
    <row r="234">
      <c r="H234" s="20" t="n"/>
    </row>
    <row r="235">
      <c r="H235" s="20" t="n"/>
    </row>
    <row r="236">
      <c r="H236" s="20" t="n"/>
    </row>
    <row r="237">
      <c r="H237" s="20" t="n"/>
    </row>
    <row r="238">
      <c r="H238" s="20" t="n"/>
    </row>
    <row r="239">
      <c r="H239" s="20" t="n"/>
    </row>
    <row r="240">
      <c r="H240" s="20" t="n"/>
    </row>
    <row r="241">
      <c r="H241" s="20" t="n"/>
    </row>
    <row r="242">
      <c r="H242" s="20" t="n"/>
    </row>
    <row r="243">
      <c r="H243" s="20" t="n"/>
    </row>
    <row r="244">
      <c r="H244" s="20" t="n"/>
    </row>
    <row r="245">
      <c r="H245" s="20" t="n"/>
    </row>
    <row r="246">
      <c r="H246" s="20" t="n"/>
    </row>
    <row r="247">
      <c r="H247" s="20" t="n"/>
    </row>
    <row r="248">
      <c r="H248" s="20" t="n"/>
    </row>
    <row r="249">
      <c r="H249" s="20" t="n"/>
    </row>
    <row r="250">
      <c r="H250" s="20" t="n"/>
    </row>
    <row r="251">
      <c r="H251" s="20" t="n"/>
    </row>
    <row r="252">
      <c r="H252" s="20" t="n"/>
    </row>
    <row r="253">
      <c r="H253" s="20" t="n"/>
    </row>
    <row r="254">
      <c r="H254" s="20" t="n"/>
    </row>
    <row r="255">
      <c r="H255" s="20" t="n"/>
    </row>
    <row r="256">
      <c r="H256" s="20" t="n"/>
    </row>
    <row r="257">
      <c r="H257" s="20" t="n"/>
    </row>
    <row r="258">
      <c r="H258" s="20" t="n"/>
    </row>
    <row r="259">
      <c r="H259" s="20" t="n"/>
    </row>
    <row r="260">
      <c r="H260" s="20" t="n"/>
    </row>
    <row r="261">
      <c r="H261" s="20" t="n"/>
    </row>
    <row r="262">
      <c r="H262" s="20" t="n"/>
    </row>
    <row r="263">
      <c r="H263" s="20" t="n"/>
    </row>
    <row r="264">
      <c r="H264" s="20" t="n"/>
    </row>
    <row r="265">
      <c r="H265" s="20" t="n"/>
    </row>
    <row r="266">
      <c r="H266" s="20" t="n"/>
    </row>
    <row r="267">
      <c r="H267" s="20" t="n"/>
    </row>
    <row r="268">
      <c r="H268" s="20" t="n"/>
    </row>
    <row r="269">
      <c r="H269" s="20" t="n"/>
    </row>
    <row r="270">
      <c r="H270" s="20" t="n"/>
    </row>
    <row r="271">
      <c r="H271" s="20" t="n"/>
    </row>
    <row r="272">
      <c r="H272" s="20" t="n"/>
    </row>
    <row r="273">
      <c r="H273" s="20" t="n"/>
    </row>
    <row r="274">
      <c r="H274" s="20" t="n"/>
    </row>
    <row r="275">
      <c r="H275" s="20" t="n"/>
    </row>
    <row r="276">
      <c r="H276" s="20" t="n"/>
    </row>
    <row r="277">
      <c r="H277" s="20" t="n"/>
    </row>
    <row r="278">
      <c r="H278" s="20" t="n"/>
    </row>
    <row r="279">
      <c r="H279" s="20" t="n"/>
    </row>
    <row r="280">
      <c r="H280" s="20" t="n"/>
    </row>
    <row r="281">
      <c r="H281" s="20" t="n"/>
    </row>
    <row r="282">
      <c r="H282" s="20" t="n"/>
    </row>
    <row r="283">
      <c r="H283" s="20" t="n"/>
    </row>
    <row r="284">
      <c r="H284" s="20" t="n"/>
    </row>
    <row r="285">
      <c r="H285" s="20" t="n"/>
    </row>
    <row r="286">
      <c r="H286" s="20" t="n"/>
    </row>
    <row r="287">
      <c r="H287" s="20" t="n"/>
    </row>
    <row r="288">
      <c r="H288" s="20" t="n"/>
    </row>
    <row r="289">
      <c r="H289" s="20" t="n"/>
    </row>
    <row r="290">
      <c r="H290" s="20" t="n"/>
    </row>
    <row r="291">
      <c r="H291" s="20" t="n"/>
    </row>
    <row r="292">
      <c r="H292" s="20" t="n"/>
    </row>
    <row r="293">
      <c r="H293" s="20" t="n"/>
    </row>
    <row r="294">
      <c r="H294" s="20" t="n"/>
    </row>
    <row r="295">
      <c r="H295" s="20" t="n"/>
    </row>
    <row r="296">
      <c r="H296" s="20" t="n"/>
    </row>
    <row r="297">
      <c r="H297" s="20" t="n"/>
    </row>
    <row r="298">
      <c r="H298" s="20" t="n"/>
    </row>
    <row r="299">
      <c r="H299" s="20" t="n"/>
    </row>
    <row r="300">
      <c r="H300" s="20" t="n"/>
    </row>
    <row r="301">
      <c r="H301" s="20" t="n"/>
    </row>
    <row r="302">
      <c r="H302" s="20" t="n"/>
    </row>
    <row r="303">
      <c r="H303" s="20" t="n"/>
    </row>
    <row r="304">
      <c r="H304" s="20" t="n"/>
    </row>
    <row r="305">
      <c r="H305" s="20" t="n"/>
    </row>
    <row r="306">
      <c r="H306" s="20" t="n"/>
    </row>
    <row r="307">
      <c r="H307" s="20" t="n"/>
    </row>
    <row r="308">
      <c r="H308" s="20" t="n"/>
    </row>
    <row r="309">
      <c r="H309" s="20" t="n"/>
    </row>
    <row r="310">
      <c r="H310" s="20" t="n"/>
    </row>
    <row r="311">
      <c r="H311" s="20" t="n"/>
    </row>
    <row r="312">
      <c r="H312" s="20" t="n"/>
    </row>
    <row r="313">
      <c r="H313" s="20" t="n"/>
    </row>
    <row r="314">
      <c r="H314" s="20" t="n"/>
    </row>
    <row r="315">
      <c r="H315" s="20" t="n"/>
    </row>
    <row r="316">
      <c r="H316" s="20" t="n"/>
    </row>
    <row r="317">
      <c r="H317" s="20" t="n"/>
    </row>
    <row r="318">
      <c r="H318" s="20" t="n"/>
    </row>
    <row r="319">
      <c r="H319" s="20" t="n"/>
    </row>
    <row r="320">
      <c r="H320" s="20" t="n"/>
    </row>
    <row r="321">
      <c r="H321" s="20" t="n"/>
    </row>
    <row r="322">
      <c r="H322" s="20" t="n"/>
    </row>
    <row r="323">
      <c r="H323" s="20" t="n"/>
    </row>
    <row r="324">
      <c r="H324" s="20" t="n"/>
    </row>
    <row r="325">
      <c r="H325" s="20" t="n"/>
    </row>
    <row r="326">
      <c r="H326" s="20" t="n"/>
    </row>
    <row r="327">
      <c r="H327" s="20" t="n"/>
    </row>
    <row r="328">
      <c r="H328" s="20" t="n"/>
    </row>
    <row r="329">
      <c r="H329" s="20" t="n"/>
    </row>
    <row r="330">
      <c r="H330" s="20" t="n"/>
    </row>
    <row r="331">
      <c r="H331" s="20" t="n"/>
    </row>
    <row r="332">
      <c r="H332" s="20" t="n"/>
    </row>
    <row r="333">
      <c r="H333" s="20" t="n"/>
    </row>
    <row r="334">
      <c r="H334" s="20" t="n"/>
    </row>
    <row r="335">
      <c r="H335" s="20" t="n"/>
    </row>
    <row r="336">
      <c r="H336" s="20" t="n"/>
    </row>
    <row r="337">
      <c r="H337" s="20" t="n"/>
    </row>
    <row r="338">
      <c r="H338" s="20" t="n"/>
    </row>
    <row r="339">
      <c r="H339" s="20" t="n"/>
    </row>
    <row r="340">
      <c r="H340" s="20" t="n"/>
    </row>
    <row r="341">
      <c r="H341" s="20" t="n"/>
    </row>
    <row r="342">
      <c r="H342" s="20" t="n"/>
    </row>
    <row r="343">
      <c r="H343" s="20" t="n"/>
    </row>
    <row r="344">
      <c r="H344" s="20" t="n"/>
    </row>
    <row r="345">
      <c r="H345" s="20" t="n"/>
    </row>
    <row r="346">
      <c r="H346" s="20" t="n"/>
    </row>
    <row r="347">
      <c r="H347" s="20" t="n"/>
    </row>
    <row r="348">
      <c r="H348" s="20" t="n"/>
    </row>
    <row r="349">
      <c r="H349" s="20" t="n"/>
    </row>
    <row r="350">
      <c r="H350" s="20" t="n"/>
    </row>
    <row r="351">
      <c r="H351" s="20" t="n"/>
    </row>
    <row r="352">
      <c r="H352" s="20" t="n"/>
    </row>
    <row r="353">
      <c r="H353" s="20" t="n"/>
    </row>
    <row r="354">
      <c r="H354" s="20" t="n"/>
    </row>
    <row r="355">
      <c r="H355" s="20" t="n"/>
    </row>
    <row r="356">
      <c r="H356" s="20" t="n"/>
    </row>
    <row r="357">
      <c r="H357" s="20" t="n"/>
    </row>
    <row r="358">
      <c r="H358" s="20" t="n"/>
    </row>
    <row r="359">
      <c r="H359" s="20" t="n"/>
    </row>
    <row r="360">
      <c r="H360" s="20" t="n"/>
    </row>
    <row r="361">
      <c r="H361" s="20" t="n"/>
    </row>
    <row r="362">
      <c r="H362" s="20" t="n"/>
    </row>
    <row r="363">
      <c r="H363" s="20" t="n"/>
    </row>
    <row r="364">
      <c r="H364" s="20" t="n"/>
    </row>
    <row r="365">
      <c r="H365" s="20" t="n"/>
    </row>
    <row r="366">
      <c r="H366" s="20" t="n"/>
    </row>
    <row r="367">
      <c r="H367" s="20" t="n"/>
    </row>
    <row r="368">
      <c r="H368" s="20" t="n"/>
    </row>
    <row r="369">
      <c r="H369" s="20" t="n"/>
    </row>
    <row r="370">
      <c r="H370" s="20" t="n"/>
    </row>
    <row r="371">
      <c r="H371" s="20" t="n"/>
    </row>
    <row r="372">
      <c r="H372" s="20" t="n"/>
    </row>
    <row r="373">
      <c r="H373" s="20" t="n"/>
    </row>
    <row r="374">
      <c r="H374" s="20" t="n"/>
    </row>
    <row r="375">
      <c r="H375" s="20" t="n"/>
    </row>
    <row r="376">
      <c r="H376" s="20" t="n"/>
    </row>
    <row r="377">
      <c r="H377" s="20" t="n"/>
    </row>
    <row r="378">
      <c r="H378" s="20" t="n"/>
    </row>
    <row r="379">
      <c r="H379" s="20" t="n"/>
    </row>
    <row r="380">
      <c r="H380" s="20" t="n"/>
    </row>
    <row r="381">
      <c r="H381" s="20" t="n"/>
    </row>
    <row r="382">
      <c r="H382" s="20" t="n"/>
    </row>
    <row r="383">
      <c r="H383" s="20" t="n"/>
    </row>
    <row r="384">
      <c r="H384" s="20" t="n"/>
    </row>
    <row r="385">
      <c r="H385" s="20" t="n"/>
    </row>
    <row r="386">
      <c r="H386" s="20" t="n"/>
    </row>
    <row r="387">
      <c r="H387" s="20" t="n"/>
    </row>
    <row r="388">
      <c r="H388" s="20" t="n"/>
    </row>
    <row r="389">
      <c r="H389" s="20" t="n"/>
    </row>
    <row r="390">
      <c r="H390" s="20" t="n"/>
    </row>
    <row r="391">
      <c r="H391" s="20" t="n"/>
    </row>
    <row r="392">
      <c r="H392" s="20" t="n"/>
    </row>
    <row r="393">
      <c r="H393" s="20" t="n"/>
    </row>
    <row r="394">
      <c r="H394" s="20" t="n"/>
    </row>
    <row r="395">
      <c r="H395" s="20" t="n"/>
    </row>
    <row r="396">
      <c r="H396" s="20" t="n"/>
    </row>
    <row r="397">
      <c r="H397" s="20" t="n"/>
    </row>
    <row r="398">
      <c r="H398" s="20" t="n"/>
    </row>
    <row r="399">
      <c r="H399" s="20" t="n"/>
    </row>
    <row r="400">
      <c r="H400" s="20" t="n"/>
    </row>
    <row r="401">
      <c r="H401" s="20" t="n"/>
    </row>
    <row r="402">
      <c r="H402" s="20" t="n"/>
    </row>
    <row r="403">
      <c r="H403" s="20" t="n"/>
    </row>
    <row r="404">
      <c r="H404" s="20" t="n"/>
    </row>
    <row r="405">
      <c r="H405" s="20" t="n"/>
    </row>
    <row r="406">
      <c r="H406" s="20" t="n"/>
    </row>
    <row r="407">
      <c r="H407" s="20" t="n"/>
    </row>
    <row r="408">
      <c r="H408" s="20" t="n"/>
    </row>
    <row r="409">
      <c r="H409" s="20" t="n"/>
    </row>
    <row r="410">
      <c r="H410" s="20" t="n"/>
    </row>
    <row r="411">
      <c r="H411" s="20" t="n"/>
    </row>
    <row r="412">
      <c r="H412" s="20" t="n"/>
    </row>
    <row r="413">
      <c r="H413" s="20" t="n"/>
    </row>
    <row r="414">
      <c r="H414" s="20" t="n"/>
    </row>
    <row r="415">
      <c r="H415" s="20" t="n"/>
    </row>
    <row r="416">
      <c r="H416" s="20" t="n"/>
    </row>
    <row r="417">
      <c r="H417" s="20" t="n"/>
    </row>
    <row r="418">
      <c r="H418" s="20" t="n"/>
    </row>
    <row r="419">
      <c r="H419" s="20" t="n"/>
    </row>
    <row r="420">
      <c r="H420" s="20" t="n"/>
    </row>
    <row r="421">
      <c r="H421" s="20" t="n"/>
    </row>
    <row r="422">
      <c r="H422" s="20" t="n"/>
    </row>
    <row r="423">
      <c r="H423" s="20" t="n"/>
    </row>
    <row r="424">
      <c r="H424" s="20" t="n"/>
    </row>
    <row r="425">
      <c r="H425" s="20" t="n"/>
    </row>
    <row r="426">
      <c r="H426" s="20" t="n"/>
    </row>
    <row r="427">
      <c r="H427" s="20" t="n"/>
    </row>
    <row r="428">
      <c r="H428" s="20" t="n"/>
    </row>
    <row r="429">
      <c r="H429" s="20" t="n"/>
    </row>
    <row r="430">
      <c r="H430" s="20" t="n"/>
    </row>
    <row r="431">
      <c r="H431" s="20" t="n"/>
    </row>
    <row r="432">
      <c r="H432" s="20" t="n"/>
    </row>
    <row r="433">
      <c r="H433" s="20" t="n"/>
    </row>
    <row r="434">
      <c r="H434" s="20" t="n"/>
    </row>
    <row r="435">
      <c r="H435" s="20" t="n"/>
    </row>
    <row r="436">
      <c r="H436" s="20" t="n"/>
    </row>
    <row r="437">
      <c r="H437" s="20" t="n"/>
    </row>
    <row r="438">
      <c r="H438" s="20" t="n"/>
    </row>
    <row r="439">
      <c r="H439" s="20" t="n"/>
    </row>
    <row r="440">
      <c r="H440" s="20" t="n"/>
    </row>
    <row r="441">
      <c r="H441" s="20" t="n"/>
    </row>
    <row r="442">
      <c r="H442" s="20" t="n"/>
    </row>
    <row r="443">
      <c r="H443" s="20" t="n"/>
    </row>
    <row r="444">
      <c r="H444" s="20" t="n"/>
    </row>
    <row r="445">
      <c r="H445" s="20" t="n"/>
    </row>
    <row r="446">
      <c r="H446" s="20" t="n"/>
    </row>
    <row r="447">
      <c r="H447" s="20" t="n"/>
    </row>
    <row r="448">
      <c r="H448" s="20" t="n"/>
    </row>
    <row r="449">
      <c r="H449" s="20" t="n"/>
    </row>
    <row r="450">
      <c r="H450" s="20" t="n"/>
    </row>
    <row r="451">
      <c r="H451" s="20" t="n"/>
    </row>
    <row r="452">
      <c r="H452" s="20" t="n"/>
    </row>
    <row r="453">
      <c r="H453" s="20" t="n"/>
    </row>
    <row r="454">
      <c r="H454" s="20" t="n"/>
    </row>
    <row r="455">
      <c r="H455" s="20" t="n"/>
    </row>
    <row r="456">
      <c r="H456" s="20" t="n"/>
    </row>
    <row r="457">
      <c r="H457" s="20" t="n"/>
    </row>
    <row r="458">
      <c r="H458" s="20" t="n"/>
    </row>
    <row r="459">
      <c r="H459" s="20" t="n"/>
    </row>
    <row r="460">
      <c r="H460" s="20" t="n"/>
    </row>
    <row r="461">
      <c r="H461" s="20" t="n"/>
    </row>
    <row r="462">
      <c r="H462" s="20" t="n"/>
    </row>
    <row r="463">
      <c r="H463" s="20" t="n"/>
    </row>
    <row r="464">
      <c r="H464" s="20" t="n"/>
    </row>
    <row r="465">
      <c r="H465" s="20" t="n"/>
    </row>
    <row r="466">
      <c r="H466" s="20" t="n"/>
    </row>
    <row r="467">
      <c r="H467" s="20" t="n"/>
    </row>
    <row r="468">
      <c r="H468" s="20" t="n"/>
    </row>
    <row r="469">
      <c r="H469" s="20" t="n"/>
    </row>
    <row r="470">
      <c r="H470" s="20" t="n"/>
    </row>
    <row r="471">
      <c r="H471" s="20" t="n"/>
    </row>
    <row r="472">
      <c r="H472" s="20" t="n"/>
    </row>
    <row r="473">
      <c r="H473" s="20" t="n"/>
    </row>
    <row r="474">
      <c r="H474" s="20" t="n"/>
    </row>
    <row r="475">
      <c r="H475" s="20" t="n"/>
    </row>
    <row r="476">
      <c r="H476" s="20" t="n"/>
    </row>
    <row r="477">
      <c r="H477" s="20" t="n"/>
    </row>
    <row r="478">
      <c r="H478" s="20" t="n"/>
    </row>
    <row r="479">
      <c r="H479" s="20" t="n"/>
    </row>
    <row r="480">
      <c r="H480" s="20" t="n"/>
    </row>
    <row r="481">
      <c r="H481" s="20" t="n"/>
    </row>
    <row r="482">
      <c r="H482" s="20" t="n"/>
    </row>
    <row r="483">
      <c r="H483" s="20" t="n"/>
    </row>
    <row r="484">
      <c r="H484" s="20" t="n"/>
    </row>
    <row r="485">
      <c r="H485" s="20" t="n"/>
    </row>
    <row r="486">
      <c r="H486" s="20" t="n"/>
    </row>
    <row r="487">
      <c r="H487" s="20" t="n"/>
    </row>
    <row r="488">
      <c r="H488" s="20" t="n"/>
    </row>
    <row r="489">
      <c r="H489" s="20" t="n"/>
    </row>
    <row r="490">
      <c r="H490" s="20" t="n"/>
    </row>
    <row r="491">
      <c r="H491" s="20" t="n"/>
    </row>
    <row r="492">
      <c r="H492" s="20" t="n"/>
    </row>
    <row r="493">
      <c r="H493" s="20" t="n"/>
    </row>
    <row r="494">
      <c r="H494" s="20" t="n"/>
    </row>
    <row r="495">
      <c r="H495" s="20" t="n"/>
    </row>
    <row r="496">
      <c r="H496" s="20" t="n"/>
    </row>
    <row r="497">
      <c r="H497" s="20" t="n"/>
    </row>
    <row r="498">
      <c r="H498" s="20" t="n"/>
    </row>
    <row r="499">
      <c r="H499" s="20" t="n"/>
    </row>
    <row r="500">
      <c r="H500" s="20" t="n"/>
    </row>
    <row r="501">
      <c r="H501" s="20" t="n"/>
    </row>
    <row r="502">
      <c r="H502" s="20" t="n"/>
    </row>
    <row r="503">
      <c r="H503" s="20" t="n"/>
    </row>
    <row r="504">
      <c r="H504" s="20" t="n"/>
    </row>
    <row r="505">
      <c r="H505" s="20" t="n"/>
    </row>
    <row r="506">
      <c r="H506" s="20" t="n"/>
    </row>
    <row r="507">
      <c r="H507" s="20" t="n"/>
    </row>
    <row r="508">
      <c r="H508" s="20" t="n"/>
    </row>
    <row r="509">
      <c r="H509" s="20" t="n"/>
    </row>
    <row r="510">
      <c r="H510" s="20" t="n"/>
    </row>
    <row r="511">
      <c r="H511" s="20" t="n"/>
    </row>
    <row r="512">
      <c r="H512" s="20" t="n"/>
    </row>
    <row r="513">
      <c r="H513" s="20" t="n"/>
    </row>
    <row r="514">
      <c r="H514" s="20" t="n"/>
    </row>
    <row r="515">
      <c r="H515" s="20" t="n"/>
    </row>
    <row r="516">
      <c r="H516" s="20" t="n"/>
    </row>
    <row r="517">
      <c r="H517" s="20" t="n"/>
    </row>
    <row r="518">
      <c r="H518" s="20" t="n"/>
    </row>
    <row r="519">
      <c r="H519" s="20" t="n"/>
    </row>
    <row r="520">
      <c r="H520" s="20" t="n"/>
    </row>
    <row r="521">
      <c r="H521" s="20" t="n"/>
    </row>
    <row r="522">
      <c r="H522" s="20" t="n"/>
    </row>
    <row r="523">
      <c r="H523" s="20" t="n"/>
    </row>
    <row r="524">
      <c r="H524" s="20" t="n"/>
    </row>
    <row r="525">
      <c r="H525" s="20" t="n"/>
    </row>
    <row r="526">
      <c r="H526" s="20" t="n"/>
    </row>
    <row r="527">
      <c r="H527" s="20" t="n"/>
    </row>
    <row r="528">
      <c r="H528" s="20" t="n"/>
    </row>
    <row r="529">
      <c r="H529" s="20" t="n"/>
    </row>
    <row r="530">
      <c r="H530" s="20" t="n"/>
    </row>
    <row r="531">
      <c r="H531" s="20" t="n"/>
    </row>
    <row r="532">
      <c r="H532" s="20" t="n"/>
    </row>
    <row r="533">
      <c r="H533" s="20" t="n"/>
    </row>
    <row r="534">
      <c r="H534" s="20" t="n"/>
    </row>
    <row r="535">
      <c r="H535" s="20" t="n"/>
    </row>
    <row r="536">
      <c r="H536" s="20" t="n"/>
    </row>
    <row r="537">
      <c r="H537" s="20" t="n"/>
    </row>
    <row r="538">
      <c r="H538" s="20" t="n"/>
    </row>
    <row r="539">
      <c r="H539" s="20" t="n"/>
    </row>
    <row r="540">
      <c r="H540" s="20" t="n"/>
    </row>
    <row r="541">
      <c r="H541" s="20" t="n"/>
    </row>
    <row r="542">
      <c r="H542" s="20" t="n"/>
    </row>
    <row r="543">
      <c r="H543" s="20" t="n"/>
    </row>
    <row r="544">
      <c r="H544" s="20" t="n"/>
    </row>
    <row r="545">
      <c r="H545" s="20" t="n"/>
    </row>
    <row r="546">
      <c r="H546" s="20" t="n"/>
    </row>
    <row r="547">
      <c r="H547" s="20" t="n"/>
    </row>
    <row r="548">
      <c r="H548" s="20" t="n"/>
    </row>
    <row r="549">
      <c r="H549" s="20" t="n"/>
    </row>
    <row r="550">
      <c r="H550" s="20" t="n"/>
    </row>
    <row r="551">
      <c r="H551" s="20" t="n"/>
    </row>
    <row r="552">
      <c r="H552" s="20" t="n"/>
    </row>
    <row r="553">
      <c r="H553" s="20" t="n"/>
    </row>
    <row r="554">
      <c r="H554" s="20" t="n"/>
    </row>
    <row r="555">
      <c r="H555" s="20" t="n"/>
    </row>
    <row r="556">
      <c r="H556" s="20" t="n"/>
    </row>
    <row r="557">
      <c r="H557" s="20" t="n"/>
    </row>
    <row r="558">
      <c r="H558" s="20" t="n"/>
    </row>
    <row r="559">
      <c r="H559" s="20" t="n"/>
    </row>
    <row r="560">
      <c r="H560" s="20" t="n"/>
    </row>
    <row r="561">
      <c r="H561" s="20" t="n"/>
    </row>
    <row r="562">
      <c r="H562" s="20" t="n"/>
    </row>
    <row r="563">
      <c r="H563" s="20" t="n"/>
    </row>
    <row r="564">
      <c r="H564" s="20" t="n"/>
    </row>
    <row r="565">
      <c r="H565" s="20" t="n"/>
    </row>
    <row r="566">
      <c r="H566" s="20" t="n"/>
    </row>
    <row r="567">
      <c r="H567" s="20" t="n"/>
    </row>
    <row r="568">
      <c r="H568" s="20" t="n"/>
    </row>
    <row r="569">
      <c r="H569" s="20" t="n"/>
    </row>
    <row r="570">
      <c r="H570" s="20" t="n"/>
    </row>
    <row r="571">
      <c r="H571" s="20" t="n"/>
    </row>
    <row r="572">
      <c r="H572" s="20" t="n"/>
    </row>
    <row r="573">
      <c r="H573" s="20" t="n"/>
    </row>
    <row r="574">
      <c r="H574" s="20" t="n"/>
    </row>
    <row r="575">
      <c r="H575" s="20" t="n"/>
    </row>
    <row r="576">
      <c r="H576" s="20" t="n"/>
    </row>
    <row r="577">
      <c r="H577" s="20" t="n"/>
    </row>
    <row r="578">
      <c r="H578" s="20" t="n"/>
    </row>
    <row r="579">
      <c r="H579" s="20" t="n"/>
    </row>
    <row r="580">
      <c r="H580" s="20" t="n"/>
    </row>
    <row r="581">
      <c r="H581" s="20" t="n"/>
    </row>
    <row r="582">
      <c r="H582" s="20" t="n"/>
    </row>
    <row r="583">
      <c r="H583" s="20" t="n"/>
    </row>
    <row r="584">
      <c r="H584" s="20" t="n"/>
    </row>
    <row r="585">
      <c r="H585" s="20" t="n"/>
    </row>
    <row r="586">
      <c r="H586" s="20" t="n"/>
    </row>
    <row r="587">
      <c r="H587" s="20" t="n"/>
    </row>
    <row r="588">
      <c r="H588" s="20" t="n"/>
    </row>
    <row r="589">
      <c r="H589" s="20" t="n"/>
    </row>
    <row r="590">
      <c r="H590" s="20" t="n"/>
    </row>
    <row r="591">
      <c r="H591" s="20" t="n"/>
    </row>
    <row r="592">
      <c r="H592" s="20" t="n"/>
    </row>
    <row r="593">
      <c r="H593" s="20" t="n"/>
    </row>
    <row r="594">
      <c r="H594" s="20" t="n"/>
    </row>
    <row r="595">
      <c r="H595" s="20" t="n"/>
    </row>
    <row r="596">
      <c r="H596" s="20" t="n"/>
    </row>
    <row r="597">
      <c r="H597" s="20" t="n"/>
    </row>
    <row r="598">
      <c r="H598" s="20" t="n"/>
    </row>
    <row r="599">
      <c r="H599" s="20" t="n"/>
    </row>
    <row r="600">
      <c r="H600" s="20" t="n"/>
    </row>
    <row r="601">
      <c r="H601" s="20" t="n"/>
    </row>
    <row r="602">
      <c r="H602" s="20" t="n"/>
    </row>
    <row r="603">
      <c r="H603" s="20" t="n"/>
    </row>
    <row r="604">
      <c r="H604" s="20" t="n"/>
    </row>
    <row r="605">
      <c r="H605" s="20" t="n"/>
    </row>
    <row r="606">
      <c r="H606" s="20" t="n"/>
    </row>
    <row r="607">
      <c r="H607" s="20" t="n"/>
    </row>
    <row r="608">
      <c r="H608" s="20" t="n"/>
    </row>
    <row r="609">
      <c r="H609" s="20" t="n"/>
    </row>
    <row r="610">
      <c r="H610" s="20" t="n"/>
    </row>
    <row r="611">
      <c r="H611" s="20" t="n"/>
    </row>
    <row r="612">
      <c r="H612" s="20" t="n"/>
    </row>
    <row r="613">
      <c r="H613" s="20" t="n"/>
    </row>
    <row r="614">
      <c r="H614" s="20" t="n"/>
    </row>
    <row r="615">
      <c r="H615" s="20" t="n"/>
    </row>
    <row r="616">
      <c r="H616" s="20" t="n"/>
    </row>
    <row r="617">
      <c r="H617" s="20" t="n"/>
    </row>
    <row r="618">
      <c r="H618" s="20" t="n"/>
    </row>
    <row r="619">
      <c r="H619" s="20" t="n"/>
    </row>
    <row r="620">
      <c r="H620" s="20" t="n"/>
    </row>
    <row r="621">
      <c r="H621" s="20" t="n"/>
    </row>
    <row r="622">
      <c r="H622" s="20" t="n"/>
    </row>
    <row r="623">
      <c r="H623" s="20" t="n"/>
    </row>
    <row r="624">
      <c r="H624" s="20" t="n"/>
    </row>
    <row r="625">
      <c r="H625" s="20" t="n"/>
    </row>
    <row r="626">
      <c r="H626" s="20" t="n"/>
    </row>
    <row r="627">
      <c r="H627" s="20" t="n"/>
    </row>
    <row r="628">
      <c r="H628" s="20" t="n"/>
    </row>
    <row r="629">
      <c r="H629" s="20" t="n"/>
    </row>
    <row r="630">
      <c r="H630" s="20" t="n"/>
    </row>
    <row r="631">
      <c r="H631" s="20" t="n"/>
    </row>
    <row r="632">
      <c r="H632" s="20" t="n"/>
    </row>
    <row r="633">
      <c r="H633" s="20" t="n"/>
    </row>
    <row r="634">
      <c r="H634" s="20" t="n"/>
    </row>
    <row r="635">
      <c r="H635" s="20" t="n"/>
    </row>
    <row r="636">
      <c r="H636" s="20" t="n"/>
    </row>
    <row r="637">
      <c r="H637" s="20" t="n"/>
    </row>
    <row r="638">
      <c r="H638" s="20" t="n"/>
    </row>
    <row r="639">
      <c r="H639" s="20" t="n"/>
    </row>
    <row r="640">
      <c r="H640" s="20" t="n"/>
    </row>
    <row r="641">
      <c r="H641" s="20" t="n"/>
    </row>
    <row r="642">
      <c r="H642" s="20" t="n"/>
    </row>
    <row r="643">
      <c r="H643" s="20" t="n"/>
    </row>
    <row r="644">
      <c r="H644" s="20" t="n"/>
    </row>
    <row r="645">
      <c r="H645" s="20" t="n"/>
    </row>
    <row r="646">
      <c r="H646" s="20" t="n"/>
    </row>
    <row r="647">
      <c r="H647" s="20" t="n"/>
    </row>
    <row r="648">
      <c r="H648" s="20" t="n"/>
    </row>
    <row r="649">
      <c r="H649" s="20" t="n"/>
    </row>
    <row r="650">
      <c r="H650" s="20" t="n"/>
    </row>
    <row r="651">
      <c r="H651" s="20" t="n"/>
    </row>
    <row r="652">
      <c r="H652" s="20" t="n"/>
    </row>
    <row r="653">
      <c r="H653" s="20" t="n"/>
    </row>
    <row r="654">
      <c r="H654" s="20" t="n"/>
    </row>
    <row r="655">
      <c r="H655" s="20" t="n"/>
    </row>
    <row r="656">
      <c r="H656" s="20" t="n"/>
    </row>
    <row r="657">
      <c r="H657" s="20" t="n"/>
    </row>
    <row r="658">
      <c r="H658" s="20" t="n"/>
    </row>
    <row r="659">
      <c r="H659" s="20" t="n"/>
    </row>
    <row r="660">
      <c r="H660" s="20" t="n"/>
    </row>
    <row r="661">
      <c r="H661" s="20" t="n"/>
    </row>
    <row r="662">
      <c r="H662" s="20" t="n"/>
    </row>
    <row r="663">
      <c r="H663" s="20" t="n"/>
    </row>
    <row r="664">
      <c r="H664" s="20" t="n"/>
    </row>
    <row r="665">
      <c r="H665" s="20" t="n"/>
    </row>
    <row r="666">
      <c r="H666" s="20" t="n"/>
    </row>
    <row r="667">
      <c r="H667" s="20" t="n"/>
    </row>
    <row r="668">
      <c r="H668" s="20" t="n"/>
    </row>
    <row r="669">
      <c r="H669" s="20" t="n"/>
    </row>
    <row r="670">
      <c r="H670" s="20" t="n"/>
    </row>
    <row r="671">
      <c r="H671" s="20" t="n"/>
    </row>
    <row r="672">
      <c r="H672" s="20" t="n"/>
    </row>
    <row r="673">
      <c r="H673" s="20" t="n"/>
    </row>
    <row r="674">
      <c r="H674" s="20" t="n"/>
    </row>
    <row r="675">
      <c r="H675" s="20" t="n"/>
    </row>
    <row r="676">
      <c r="H676" s="20" t="n"/>
    </row>
    <row r="677">
      <c r="H677" s="20" t="n"/>
    </row>
    <row r="678">
      <c r="H678" s="20" t="n"/>
    </row>
    <row r="679">
      <c r="H679" s="20" t="n"/>
    </row>
    <row r="680">
      <c r="H680" s="20" t="n"/>
    </row>
    <row r="681">
      <c r="H681" s="20" t="n"/>
    </row>
    <row r="682">
      <c r="H682" s="20" t="n"/>
    </row>
    <row r="683">
      <c r="H683" s="20" t="n"/>
    </row>
    <row r="684">
      <c r="H684" s="20" t="n"/>
    </row>
    <row r="685">
      <c r="H685" s="20" t="n"/>
    </row>
    <row r="686">
      <c r="H686" s="20" t="n"/>
    </row>
    <row r="687">
      <c r="H687" s="20" t="n"/>
    </row>
    <row r="688">
      <c r="H688" s="20" t="n"/>
    </row>
    <row r="689">
      <c r="H689" s="20" t="n"/>
    </row>
    <row r="690">
      <c r="H690" s="20" t="n"/>
    </row>
    <row r="691">
      <c r="H691" s="20" t="n"/>
    </row>
    <row r="692">
      <c r="H692" s="20" t="n"/>
    </row>
    <row r="693">
      <c r="H693" s="20" t="n"/>
    </row>
    <row r="694">
      <c r="H694" s="20" t="n"/>
    </row>
    <row r="695">
      <c r="H695" s="20" t="n"/>
    </row>
    <row r="696">
      <c r="H696" s="20" t="n"/>
    </row>
    <row r="697">
      <c r="H697" s="20" t="n"/>
    </row>
    <row r="698">
      <c r="H698" s="20" t="n"/>
    </row>
    <row r="699">
      <c r="H699" s="20" t="n"/>
    </row>
    <row r="700">
      <c r="H700" s="20" t="n"/>
    </row>
    <row r="701">
      <c r="H701" s="20" t="n"/>
    </row>
    <row r="702">
      <c r="H702" s="20" t="n"/>
    </row>
    <row r="703">
      <c r="H703" s="20" t="n"/>
    </row>
    <row r="704">
      <c r="H704" s="20" t="n"/>
    </row>
    <row r="705">
      <c r="H705" s="20" t="n"/>
    </row>
    <row r="706">
      <c r="H706" s="20" t="n"/>
    </row>
    <row r="707">
      <c r="H707" s="20" t="n"/>
    </row>
    <row r="708">
      <c r="H708" s="20" t="n"/>
    </row>
    <row r="709">
      <c r="H709" s="20" t="n"/>
    </row>
    <row r="710">
      <c r="H710" s="20" t="n"/>
    </row>
    <row r="711">
      <c r="H711" s="20" t="n"/>
    </row>
    <row r="712">
      <c r="H712" s="20" t="n"/>
    </row>
    <row r="713">
      <c r="H713" s="20" t="n"/>
    </row>
    <row r="714">
      <c r="H714" s="20" t="n"/>
    </row>
    <row r="715">
      <c r="H715" s="20" t="n"/>
    </row>
    <row r="716">
      <c r="H716" s="20" t="n"/>
    </row>
    <row r="717">
      <c r="H717" s="20" t="n"/>
    </row>
    <row r="718">
      <c r="H718" s="20" t="n"/>
    </row>
    <row r="719">
      <c r="H719" s="20" t="n"/>
    </row>
    <row r="720">
      <c r="H720" s="20" t="n"/>
    </row>
    <row r="721">
      <c r="H721" s="20" t="n"/>
    </row>
    <row r="722">
      <c r="H722" s="20" t="n"/>
    </row>
    <row r="723">
      <c r="H723" s="20" t="n"/>
    </row>
    <row r="724">
      <c r="H724" s="20" t="n"/>
    </row>
    <row r="725">
      <c r="H725" s="20" t="n"/>
    </row>
    <row r="726">
      <c r="H726" s="20" t="n"/>
    </row>
    <row r="727">
      <c r="H727" s="20" t="n"/>
    </row>
    <row r="728">
      <c r="H728" s="20" t="n"/>
    </row>
    <row r="729">
      <c r="H729" s="20" t="n"/>
    </row>
    <row r="730">
      <c r="H730" s="20" t="n"/>
    </row>
    <row r="731">
      <c r="H731" s="20" t="n"/>
    </row>
    <row r="732">
      <c r="H732" s="20" t="n"/>
    </row>
    <row r="733">
      <c r="H733" s="20" t="n"/>
    </row>
    <row r="734">
      <c r="H734" s="20" t="n"/>
    </row>
    <row r="735">
      <c r="H735" s="20" t="n"/>
    </row>
    <row r="736">
      <c r="H736" s="20" t="n"/>
    </row>
    <row r="737">
      <c r="H737" s="20" t="n"/>
    </row>
    <row r="738">
      <c r="H738" s="20" t="n"/>
    </row>
    <row r="739">
      <c r="H739" s="20" t="n"/>
    </row>
    <row r="740">
      <c r="H740" s="20" t="n"/>
    </row>
    <row r="741">
      <c r="H741" s="20" t="n"/>
    </row>
    <row r="742">
      <c r="H742" s="20" t="n"/>
    </row>
    <row r="743">
      <c r="H743" s="20" t="n"/>
    </row>
    <row r="744">
      <c r="H744" s="20" t="n"/>
    </row>
    <row r="745">
      <c r="H745" s="20" t="n"/>
    </row>
    <row r="746">
      <c r="H746" s="20" t="n"/>
    </row>
    <row r="747">
      <c r="H747" s="20" t="n"/>
    </row>
    <row r="748">
      <c r="H748" s="20" t="n"/>
    </row>
    <row r="749">
      <c r="H749" s="20" t="n"/>
    </row>
    <row r="750">
      <c r="H750" s="20" t="n"/>
    </row>
    <row r="751">
      <c r="H751" s="20" t="n"/>
    </row>
    <row r="752">
      <c r="H752" s="20" t="n"/>
    </row>
    <row r="753">
      <c r="H753" s="20" t="n"/>
    </row>
    <row r="754">
      <c r="H754" s="20" t="n"/>
    </row>
    <row r="755">
      <c r="H755" s="20" t="n"/>
    </row>
    <row r="756">
      <c r="H756" s="20" t="n"/>
    </row>
    <row r="757">
      <c r="H757" s="20" t="n"/>
    </row>
    <row r="758">
      <c r="H758" s="20" t="n"/>
    </row>
    <row r="759">
      <c r="H759" s="20" t="n"/>
    </row>
    <row r="760">
      <c r="H760" s="20" t="n"/>
    </row>
    <row r="761">
      <c r="H761" s="20" t="n"/>
    </row>
    <row r="762">
      <c r="H762" s="20" t="n"/>
    </row>
    <row r="763">
      <c r="H763" s="20" t="n"/>
    </row>
    <row r="764">
      <c r="H764" s="20" t="n"/>
    </row>
    <row r="765">
      <c r="H765" s="20" t="n"/>
    </row>
    <row r="766">
      <c r="H766" s="20" t="n"/>
    </row>
    <row r="767">
      <c r="H767" s="20" t="n"/>
    </row>
    <row r="768">
      <c r="H768" s="20" t="n"/>
    </row>
    <row r="769">
      <c r="H769" s="20" t="n"/>
    </row>
    <row r="770">
      <c r="H770" s="20" t="n"/>
    </row>
    <row r="771">
      <c r="H771" s="20" t="n"/>
    </row>
    <row r="772">
      <c r="H772" s="20" t="n"/>
    </row>
    <row r="773">
      <c r="H773" s="20" t="n"/>
    </row>
    <row r="774">
      <c r="H774" s="20" t="n"/>
    </row>
    <row r="775">
      <c r="H775" s="20" t="n"/>
    </row>
    <row r="776">
      <c r="H776" s="20" t="n"/>
    </row>
    <row r="777">
      <c r="H777" s="20" t="n"/>
    </row>
    <row r="778">
      <c r="H778" s="20" t="n"/>
    </row>
    <row r="779">
      <c r="H779" s="20" t="n"/>
    </row>
    <row r="780">
      <c r="H780" s="20" t="n"/>
    </row>
    <row r="781">
      <c r="H781" s="20" t="n"/>
    </row>
    <row r="782">
      <c r="H782" s="20" t="n"/>
    </row>
    <row r="783">
      <c r="H783" s="20" t="n"/>
    </row>
    <row r="784">
      <c r="H784" s="20" t="n"/>
    </row>
    <row r="785">
      <c r="H785" s="20" t="n"/>
    </row>
    <row r="786">
      <c r="H786" s="20" t="n"/>
    </row>
    <row r="787">
      <c r="H787" s="20" t="n"/>
    </row>
    <row r="788">
      <c r="H788" s="20" t="n"/>
    </row>
    <row r="789">
      <c r="H789" s="20" t="n"/>
    </row>
    <row r="790">
      <c r="H790" s="20" t="n"/>
    </row>
    <row r="791">
      <c r="H791" s="20" t="n"/>
    </row>
    <row r="792">
      <c r="H792" s="20" t="n"/>
    </row>
    <row r="793">
      <c r="H793" s="20" t="n"/>
    </row>
    <row r="794">
      <c r="H794" s="20" t="n"/>
    </row>
    <row r="795">
      <c r="H795" s="20" t="n"/>
    </row>
    <row r="796">
      <c r="H796" s="20" t="n"/>
    </row>
    <row r="797">
      <c r="H797" s="20" t="n"/>
    </row>
    <row r="798">
      <c r="H798" s="20" t="n"/>
    </row>
    <row r="799">
      <c r="H799" s="20" t="n"/>
    </row>
    <row r="800">
      <c r="H800" s="20" t="n"/>
    </row>
    <row r="801">
      <c r="H801" s="20" t="n"/>
    </row>
    <row r="802">
      <c r="H802" s="20" t="n"/>
    </row>
    <row r="803">
      <c r="H803" s="20" t="n"/>
    </row>
    <row r="804">
      <c r="H804" s="20" t="n"/>
    </row>
    <row r="805">
      <c r="H805" s="20" t="n"/>
    </row>
    <row r="806">
      <c r="H806" s="20" t="n"/>
    </row>
    <row r="807">
      <c r="H807" s="20" t="n"/>
    </row>
    <row r="808">
      <c r="H808" s="20" t="n"/>
    </row>
    <row r="809">
      <c r="H809" s="20" t="n"/>
    </row>
    <row r="810">
      <c r="H810" s="20" t="n"/>
    </row>
    <row r="811">
      <c r="H811" s="20" t="n"/>
    </row>
    <row r="812">
      <c r="H812" s="20" t="n"/>
    </row>
    <row r="813">
      <c r="H813" s="20" t="n"/>
    </row>
    <row r="814">
      <c r="H814" s="20" t="n"/>
    </row>
    <row r="815">
      <c r="H815" s="20" t="n"/>
    </row>
    <row r="816">
      <c r="H816" s="20" t="n"/>
    </row>
    <row r="817">
      <c r="H817" s="20" t="n"/>
    </row>
    <row r="818">
      <c r="H818" s="20" t="n"/>
    </row>
    <row r="819">
      <c r="H819" s="20" t="n"/>
    </row>
    <row r="820">
      <c r="H820" s="20" t="n"/>
    </row>
    <row r="821">
      <c r="H821" s="20" t="n"/>
    </row>
    <row r="822">
      <c r="H822" s="20" t="n"/>
    </row>
    <row r="823">
      <c r="H823" s="20" t="n"/>
    </row>
    <row r="824">
      <c r="H824" s="20" t="n"/>
    </row>
    <row r="825">
      <c r="H825" s="20" t="n"/>
    </row>
    <row r="826">
      <c r="H826" s="20" t="n"/>
    </row>
    <row r="827">
      <c r="H827" s="20" t="n"/>
    </row>
    <row r="828">
      <c r="H828" s="20" t="n"/>
    </row>
    <row r="829">
      <c r="H829" s="20" t="n"/>
    </row>
    <row r="830">
      <c r="H830" s="20" t="n"/>
    </row>
    <row r="831">
      <c r="H831" s="20" t="n"/>
    </row>
    <row r="832">
      <c r="H832" s="20" t="n"/>
    </row>
    <row r="833">
      <c r="H833" s="20" t="n"/>
    </row>
    <row r="834">
      <c r="H834" s="20" t="n"/>
    </row>
    <row r="835">
      <c r="H835" s="20" t="n"/>
    </row>
    <row r="836">
      <c r="H836" s="20" t="n"/>
    </row>
    <row r="837">
      <c r="H837" s="20" t="n"/>
    </row>
    <row r="838">
      <c r="H838" s="20" t="n"/>
    </row>
    <row r="839">
      <c r="H839" s="20" t="n"/>
    </row>
    <row r="840">
      <c r="H840" s="20" t="n"/>
    </row>
    <row r="841">
      <c r="H841" s="20" t="n"/>
    </row>
    <row r="842">
      <c r="H842" s="20" t="n"/>
    </row>
    <row r="843">
      <c r="H843" s="20" t="n"/>
    </row>
    <row r="844">
      <c r="H844" s="20" t="n"/>
    </row>
    <row r="845">
      <c r="H845" s="20" t="n"/>
    </row>
    <row r="846">
      <c r="H846" s="20" t="n"/>
    </row>
    <row r="847">
      <c r="H847" s="20" t="n"/>
    </row>
    <row r="848">
      <c r="H848" s="20" t="n"/>
    </row>
    <row r="849">
      <c r="H849" s="20" t="n"/>
    </row>
    <row r="850">
      <c r="H850" s="20" t="n"/>
    </row>
    <row r="851">
      <c r="H851" s="20" t="n"/>
    </row>
    <row r="852">
      <c r="H852" s="20" t="n"/>
    </row>
    <row r="853">
      <c r="H853" s="20" t="n"/>
    </row>
    <row r="854">
      <c r="H854" s="20" t="n"/>
    </row>
    <row r="855">
      <c r="H855" s="20" t="n"/>
    </row>
    <row r="856">
      <c r="H856" s="20" t="n"/>
    </row>
    <row r="857">
      <c r="H857" s="20" t="n"/>
    </row>
    <row r="858">
      <c r="H858" s="20" t="n"/>
    </row>
    <row r="859">
      <c r="H859" s="20" t="n"/>
    </row>
    <row r="860">
      <c r="H860" s="20" t="n"/>
    </row>
    <row r="861">
      <c r="H861" s="20" t="n"/>
    </row>
    <row r="862">
      <c r="H862" s="20" t="n"/>
    </row>
    <row r="863">
      <c r="H863" s="20" t="n"/>
    </row>
    <row r="864">
      <c r="H864" s="20" t="n"/>
    </row>
    <row r="865">
      <c r="H865" s="20" t="n"/>
    </row>
    <row r="866">
      <c r="H866" s="20" t="n"/>
    </row>
    <row r="867">
      <c r="H867" s="20" t="n"/>
    </row>
    <row r="868">
      <c r="H868" s="20" t="n"/>
    </row>
    <row r="869">
      <c r="H869" s="20" t="n"/>
    </row>
    <row r="870">
      <c r="H870" s="20" t="n"/>
    </row>
    <row r="871">
      <c r="H871" s="20" t="n"/>
    </row>
    <row r="872">
      <c r="H872" s="20" t="n"/>
    </row>
    <row r="873">
      <c r="H873" s="20" t="n"/>
    </row>
    <row r="874">
      <c r="H874" s="20" t="n"/>
    </row>
    <row r="875">
      <c r="H875" s="20" t="n"/>
    </row>
    <row r="876">
      <c r="H876" s="20" t="n"/>
    </row>
    <row r="877">
      <c r="H877" s="20" t="n"/>
    </row>
    <row r="878">
      <c r="H878" s="20" t="n"/>
    </row>
    <row r="879">
      <c r="H879" s="20" t="n"/>
    </row>
    <row r="880">
      <c r="H880" s="20" t="n"/>
    </row>
    <row r="881">
      <c r="H881" s="20" t="n"/>
    </row>
    <row r="882">
      <c r="H882" s="20" t="n"/>
    </row>
    <row r="883">
      <c r="H883" s="20" t="n"/>
    </row>
    <row r="884">
      <c r="H884" s="20" t="n"/>
    </row>
    <row r="885">
      <c r="H885" s="20" t="n"/>
    </row>
    <row r="886">
      <c r="H886" s="20" t="n"/>
    </row>
    <row r="887">
      <c r="H887" s="20" t="n"/>
    </row>
    <row r="888">
      <c r="H888" s="20" t="n"/>
    </row>
    <row r="889">
      <c r="H889" s="20" t="n"/>
    </row>
    <row r="890">
      <c r="H890" s="20" t="n"/>
    </row>
    <row r="891">
      <c r="H891" s="20" t="n"/>
    </row>
    <row r="892">
      <c r="H892" s="20" t="n"/>
    </row>
    <row r="893">
      <c r="H893" s="20" t="n"/>
    </row>
    <row r="894">
      <c r="H894" s="20" t="n"/>
    </row>
    <row r="895">
      <c r="H895" s="20" t="n"/>
    </row>
    <row r="896">
      <c r="H896" s="20" t="n"/>
    </row>
    <row r="897">
      <c r="H897" s="20" t="n"/>
    </row>
    <row r="898">
      <c r="H898" s="20" t="n"/>
    </row>
    <row r="899">
      <c r="H899" s="20" t="n"/>
    </row>
    <row r="900">
      <c r="H900" s="20" t="n"/>
    </row>
    <row r="901">
      <c r="H901" s="20" t="n"/>
    </row>
    <row r="902">
      <c r="H902" s="20" t="n"/>
    </row>
    <row r="903">
      <c r="H903" s="20" t="n"/>
    </row>
    <row r="904">
      <c r="H904" s="20" t="n"/>
    </row>
    <row r="905">
      <c r="H905" s="20" t="n"/>
    </row>
    <row r="906">
      <c r="H906" s="20" t="n"/>
    </row>
    <row r="907">
      <c r="H907" s="20" t="n"/>
    </row>
    <row r="908">
      <c r="H908" s="20" t="n"/>
    </row>
    <row r="909">
      <c r="H909" s="20" t="n"/>
    </row>
    <row r="910">
      <c r="H910" s="20" t="n"/>
    </row>
    <row r="911">
      <c r="H911" s="20" t="n"/>
    </row>
    <row r="912">
      <c r="H912" s="20" t="n"/>
    </row>
    <row r="913">
      <c r="H913" s="20" t="n"/>
    </row>
    <row r="914">
      <c r="H914" s="20" t="n"/>
    </row>
    <row r="915">
      <c r="H915" s="20" t="n"/>
    </row>
    <row r="916">
      <c r="H916" s="20" t="n"/>
    </row>
    <row r="917">
      <c r="H917" s="20" t="n"/>
    </row>
    <row r="918">
      <c r="H918" s="20" t="n"/>
    </row>
    <row r="919">
      <c r="H919" s="20" t="n"/>
    </row>
    <row r="920">
      <c r="H920" s="20" t="n"/>
    </row>
    <row r="921">
      <c r="H921" s="20" t="n"/>
    </row>
    <row r="922">
      <c r="H922" s="20" t="n"/>
    </row>
    <row r="923">
      <c r="H923" s="20" t="n"/>
    </row>
    <row r="924">
      <c r="H924" s="20" t="n"/>
    </row>
    <row r="925">
      <c r="H925" s="20" t="n"/>
    </row>
    <row r="926">
      <c r="H926" s="20" t="n"/>
    </row>
    <row r="927">
      <c r="H927" s="20" t="n"/>
    </row>
    <row r="928">
      <c r="H928" s="20" t="n"/>
    </row>
    <row r="929">
      <c r="H929" s="20" t="n"/>
    </row>
    <row r="930">
      <c r="H930" s="20" t="n"/>
    </row>
    <row r="931">
      <c r="H931" s="20" t="n"/>
    </row>
    <row r="932">
      <c r="H932" s="20" t="n"/>
    </row>
    <row r="933">
      <c r="H933" s="20" t="n"/>
    </row>
    <row r="934">
      <c r="H934" s="20" t="n"/>
    </row>
    <row r="935">
      <c r="H935" s="20" t="n"/>
    </row>
    <row r="936">
      <c r="H936" s="20" t="n"/>
    </row>
    <row r="937">
      <c r="H937" s="20" t="n"/>
    </row>
    <row r="938">
      <c r="H938" s="20" t="n"/>
    </row>
    <row r="939">
      <c r="H939" s="20" t="n"/>
    </row>
    <row r="940">
      <c r="H940" s="20" t="n"/>
    </row>
    <row r="941">
      <c r="H941" s="20" t="n"/>
    </row>
    <row r="942">
      <c r="H942" s="20" t="n"/>
    </row>
    <row r="943">
      <c r="H943" s="20" t="n"/>
    </row>
    <row r="944">
      <c r="H944" s="20" t="n"/>
    </row>
    <row r="945">
      <c r="H945" s="20" t="n"/>
    </row>
    <row r="946">
      <c r="H946" s="20" t="n"/>
    </row>
    <row r="947">
      <c r="H947" s="20" t="n"/>
    </row>
    <row r="948">
      <c r="H948" s="20" t="n"/>
    </row>
    <row r="949">
      <c r="H949" s="20" t="n"/>
    </row>
    <row r="950">
      <c r="H950" s="20" t="n"/>
    </row>
    <row r="951">
      <c r="H951" s="20" t="n"/>
    </row>
    <row r="952">
      <c r="H952" s="20" t="n"/>
    </row>
    <row r="953">
      <c r="H953" s="20" t="n"/>
    </row>
    <row r="954">
      <c r="H954" s="20" t="n"/>
    </row>
    <row r="955">
      <c r="H955" s="20" t="n"/>
    </row>
    <row r="956">
      <c r="H956" s="20" t="n"/>
    </row>
    <row r="957">
      <c r="H957" s="20" t="n"/>
    </row>
    <row r="958">
      <c r="H958" s="20" t="n"/>
    </row>
    <row r="959">
      <c r="H959" s="20" t="n"/>
    </row>
    <row r="960">
      <c r="H960" s="20" t="n"/>
    </row>
    <row r="961">
      <c r="H961" s="20" t="n"/>
    </row>
    <row r="962">
      <c r="H962" s="20" t="n"/>
    </row>
    <row r="963">
      <c r="H963" s="20" t="n"/>
    </row>
    <row r="964">
      <c r="H964" s="20" t="n"/>
    </row>
    <row r="965">
      <c r="H965" s="20" t="n"/>
    </row>
    <row r="966">
      <c r="H966" s="20" t="n"/>
    </row>
    <row r="967">
      <c r="H967" s="20" t="n"/>
    </row>
    <row r="968">
      <c r="H968" s="20" t="n"/>
    </row>
    <row r="969">
      <c r="H969" s="20" t="n"/>
    </row>
    <row r="970">
      <c r="H970" s="20" t="n"/>
    </row>
    <row r="971">
      <c r="H971" s="20" t="n"/>
    </row>
    <row r="972">
      <c r="H972" s="20" t="n"/>
    </row>
    <row r="973">
      <c r="H973" s="20" t="n"/>
    </row>
    <row r="974">
      <c r="H974" s="20" t="n"/>
    </row>
    <row r="975">
      <c r="H975" s="20" t="n"/>
    </row>
    <row r="976">
      <c r="H976" s="20" t="n"/>
    </row>
    <row r="977">
      <c r="H977" s="20" t="n"/>
    </row>
    <row r="978">
      <c r="H978" s="20" t="n"/>
    </row>
    <row r="979">
      <c r="H979" s="20" t="n"/>
    </row>
    <row r="980">
      <c r="H980" s="20" t="n"/>
    </row>
    <row r="981">
      <c r="H981" s="20" t="n"/>
    </row>
    <row r="982">
      <c r="H982" s="20" t="n"/>
    </row>
    <row r="983">
      <c r="H983" s="20" t="n"/>
    </row>
    <row r="984">
      <c r="H984" s="20" t="n"/>
    </row>
    <row r="985">
      <c r="H985" s="20" t="n"/>
    </row>
    <row r="986">
      <c r="H986" s="20" t="n"/>
    </row>
    <row r="987">
      <c r="H987" s="20" t="n"/>
    </row>
    <row r="988">
      <c r="H988" s="20" t="n"/>
    </row>
    <row r="989">
      <c r="H989" s="20" t="n"/>
    </row>
    <row r="990">
      <c r="H990" s="20" t="n"/>
    </row>
    <row r="991">
      <c r="H991" s="20" t="n"/>
    </row>
    <row r="992">
      <c r="H992" s="20" t="n"/>
    </row>
    <row r="993">
      <c r="H993" s="20" t="n"/>
    </row>
    <row r="994">
      <c r="H994" s="20" t="n"/>
    </row>
    <row r="995">
      <c r="H995" s="20" t="n"/>
    </row>
    <row r="996">
      <c r="H996" s="20" t="n"/>
    </row>
    <row r="997">
      <c r="H997" s="20" t="n"/>
    </row>
    <row r="998">
      <c r="H998" s="20" t="n"/>
    </row>
    <row r="999">
      <c r="H999" s="20" t="n"/>
    </row>
    <row r="1000">
      <c r="H1000" s="20"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X991"/>
  <sheetViews>
    <sheetView workbookViewId="0">
      <pane ySplit="1" topLeftCell="A2" activePane="bottomLeft" state="frozen"/>
      <selection pane="bottomLeft" activeCell="B3" sqref="B3"/>
    </sheetView>
  </sheetViews>
  <sheetFormatPr baseColWidth="8" defaultColWidth="12.63" defaultRowHeight="15.75" customHeight="1"/>
  <cols>
    <col width="25.38" customWidth="1" style="22" min="2" max="2"/>
    <col width="39.5" customWidth="1" style="22" min="7" max="7"/>
    <col width="19.25" customWidth="1" style="22" min="9" max="9"/>
  </cols>
  <sheetData>
    <row r="1">
      <c r="A1" s="12" t="inlineStr">
        <is>
          <t>NO.</t>
        </is>
      </c>
      <c r="B1" s="12" t="inlineStr">
        <is>
          <t>NAME</t>
        </is>
      </c>
      <c r="C1" s="12" t="inlineStr">
        <is>
          <t>JERSEY #</t>
        </is>
      </c>
      <c r="D1" s="12" t="inlineStr">
        <is>
          <t>POSITION</t>
        </is>
      </c>
      <c r="E1" s="12" t="inlineStr">
        <is>
          <t>HEIGHT</t>
        </is>
      </c>
      <c r="F1" s="12" t="inlineStr">
        <is>
          <t>WEIGHT</t>
        </is>
      </c>
      <c r="G1" s="12" t="inlineStr">
        <is>
          <t>COLLEGE/PRO EXPERIENCE</t>
        </is>
      </c>
      <c r="H1" s="12" t="inlineStr">
        <is>
          <t>LEVEL</t>
        </is>
      </c>
      <c r="I1" s="12" t="inlineStr">
        <is>
          <t>STATUS</t>
        </is>
      </c>
      <c r="J1" s="12" t="inlineStr">
        <is>
          <t>Date</t>
        </is>
      </c>
      <c r="K1" s="10" t="n">
        <v>46242</v>
      </c>
      <c r="L1" s="12" t="n"/>
      <c r="M1" s="12" t="n"/>
      <c r="N1" s="12" t="n"/>
      <c r="O1" s="12" t="n"/>
      <c r="P1" s="12" t="n"/>
      <c r="Q1" s="12" t="n"/>
      <c r="R1" s="12" t="n"/>
      <c r="S1" s="12" t="n"/>
      <c r="T1" s="12" t="n"/>
      <c r="U1" s="12" t="n"/>
      <c r="V1" s="12" t="n"/>
      <c r="W1" s="12" t="n"/>
      <c r="X1" s="12" t="n"/>
    </row>
    <row r="2">
      <c r="A2" s="12" t="n"/>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row>
    <row r="27">
      <c r="A27" s="12" t="n"/>
      <c r="B27" s="12" t="n"/>
      <c r="C27" s="12" t="n"/>
      <c r="D27" s="12" t="n"/>
      <c r="E27" s="12" t="n"/>
      <c r="F27" s="12" t="n"/>
      <c r="G27" s="12" t="n"/>
      <c r="H27" s="12" t="n"/>
      <c r="I27" s="12" t="n"/>
      <c r="J27" s="10" t="n"/>
      <c r="K27" s="12" t="n"/>
      <c r="L27" s="12" t="n"/>
      <c r="M27" s="12" t="n"/>
      <c r="N27" s="12" t="n"/>
      <c r="O27" s="12" t="n"/>
      <c r="P27" s="12" t="n"/>
      <c r="Q27" s="12" t="n"/>
      <c r="R27" s="12" t="n"/>
      <c r="S27" s="12" t="n"/>
      <c r="T27" s="12" t="n"/>
      <c r="U27" s="12" t="n"/>
      <c r="V27" s="12" t="n"/>
      <c r="W27" s="12" t="n"/>
      <c r="X27" s="12" t="n"/>
    </row>
    <row r="28">
      <c r="A28" s="12" t="n"/>
      <c r="B28" s="12" t="n"/>
      <c r="C28" s="12" t="n"/>
      <c r="D28" s="12" t="n"/>
      <c r="E28" s="12" t="n"/>
      <c r="F28" s="12" t="n"/>
      <c r="G28" s="12" t="n"/>
      <c r="H28" s="12" t="n"/>
      <c r="I28" s="12" t="n"/>
      <c r="J28" s="10" t="n"/>
      <c r="K28" s="12" t="n"/>
      <c r="L28" s="12" t="n"/>
      <c r="M28" s="12" t="n"/>
      <c r="N28" s="12" t="n"/>
      <c r="O28" s="12" t="n"/>
      <c r="P28" s="12" t="n"/>
      <c r="Q28" s="12" t="n"/>
      <c r="R28" s="12" t="n"/>
      <c r="S28" s="12" t="n"/>
      <c r="T28" s="12" t="n"/>
      <c r="U28" s="12" t="n"/>
      <c r="V28" s="12" t="n"/>
      <c r="W28" s="12" t="n"/>
      <c r="X28" s="12" t="n"/>
    </row>
    <row r="29">
      <c r="A29" s="12" t="n"/>
      <c r="B29" s="12" t="n"/>
      <c r="C29" s="12" t="n"/>
      <c r="D29" s="12" t="n"/>
      <c r="E29" s="12" t="n"/>
      <c r="F29" s="12" t="n"/>
      <c r="G29" s="12" t="n"/>
      <c r="H29" s="12" t="n"/>
      <c r="I29" s="12" t="n"/>
      <c r="J29" s="10" t="n"/>
      <c r="K29" s="12" t="n"/>
      <c r="L29" s="12" t="n"/>
      <c r="M29" s="12" t="n"/>
      <c r="N29" s="12" t="n"/>
      <c r="O29" s="12" t="n"/>
      <c r="P29" s="12" t="n"/>
      <c r="Q29" s="12" t="n"/>
      <c r="R29" s="12" t="n"/>
      <c r="S29" s="12" t="n"/>
      <c r="T29" s="12" t="n"/>
      <c r="U29" s="12" t="n"/>
      <c r="V29" s="12" t="n"/>
      <c r="W29" s="12" t="n"/>
      <c r="X29" s="12" t="n"/>
    </row>
    <row r="30">
      <c r="A30" s="12" t="n"/>
      <c r="B30" s="12" t="n"/>
      <c r="C30" s="12" t="n"/>
      <c r="D30" s="12" t="n"/>
      <c r="E30" s="12" t="n"/>
      <c r="F30" s="12" t="n"/>
      <c r="G30" s="12" t="n"/>
      <c r="H30" s="12" t="n"/>
      <c r="I30" s="12" t="n"/>
      <c r="J30" s="10" t="n"/>
      <c r="K30" s="12" t="n"/>
      <c r="L30" s="12" t="n"/>
      <c r="M30" s="12" t="n"/>
      <c r="N30" s="12" t="n"/>
      <c r="O30" s="12" t="n"/>
      <c r="P30" s="12" t="n"/>
      <c r="Q30" s="12" t="n"/>
      <c r="R30" s="12" t="n"/>
      <c r="S30" s="12" t="n"/>
      <c r="T30" s="12" t="n"/>
      <c r="U30" s="12" t="n"/>
      <c r="V30" s="12" t="n"/>
      <c r="W30" s="12" t="n"/>
      <c r="X30" s="12" t="n"/>
    </row>
    <row r="31">
      <c r="A31" s="12" t="n"/>
      <c r="B31" s="12" t="n"/>
      <c r="C31" s="12" t="n"/>
      <c r="D31" s="12" t="n"/>
      <c r="E31" s="12" t="n"/>
      <c r="F31" s="12" t="n"/>
      <c r="G31" s="12" t="n"/>
      <c r="H31" s="12" t="n"/>
      <c r="I31" s="12" t="n"/>
      <c r="J31" s="10" t="n"/>
      <c r="K31" s="12" t="n"/>
      <c r="L31" s="12" t="n"/>
      <c r="M31" s="12" t="n"/>
      <c r="N31" s="12" t="n"/>
      <c r="O31" s="12" t="n"/>
      <c r="P31" s="12" t="n"/>
      <c r="Q31" s="12" t="n"/>
      <c r="R31" s="12" t="n"/>
      <c r="S31" s="12" t="n"/>
      <c r="T31" s="12" t="n"/>
      <c r="U31" s="12" t="n"/>
      <c r="V31" s="12" t="n"/>
      <c r="W31" s="12" t="n"/>
      <c r="X31" s="12" t="n"/>
    </row>
    <row r="32">
      <c r="A32" s="12" t="n"/>
      <c r="B32" s="12" t="n"/>
      <c r="C32" s="12" t="n"/>
      <c r="D32" s="12" t="n"/>
      <c r="E32" s="12" t="n"/>
      <c r="F32" s="12" t="n"/>
      <c r="G32" s="12" t="n"/>
      <c r="H32" s="12" t="n"/>
      <c r="I32" s="12" t="n"/>
      <c r="J32" s="10" t="n"/>
      <c r="K32" s="12" t="n"/>
      <c r="L32" s="12" t="n"/>
      <c r="M32" s="12" t="n"/>
      <c r="N32" s="12" t="n"/>
      <c r="O32" s="12" t="n"/>
      <c r="P32" s="12" t="n"/>
      <c r="Q32" s="12" t="n"/>
      <c r="R32" s="12" t="n"/>
      <c r="S32" s="12" t="n"/>
      <c r="T32" s="12" t="n"/>
      <c r="U32" s="12" t="n"/>
      <c r="V32" s="12" t="n"/>
      <c r="W32" s="12" t="n"/>
      <c r="X32" s="12" t="n"/>
    </row>
    <row r="33">
      <c r="A33" s="12" t="n"/>
      <c r="B33" s="12" t="n"/>
      <c r="C33" s="12" t="n"/>
      <c r="D33" s="12" t="n"/>
      <c r="E33" s="12" t="n"/>
      <c r="F33" s="12" t="n"/>
      <c r="G33" s="12" t="n"/>
      <c r="H33" s="12" t="n"/>
      <c r="I33" s="12" t="n"/>
      <c r="J33" s="10" t="n"/>
      <c r="K33" s="12" t="n"/>
      <c r="L33" s="12" t="n"/>
      <c r="M33" s="12" t="n"/>
      <c r="N33" s="12" t="n"/>
      <c r="O33" s="12" t="n"/>
      <c r="P33" s="12" t="n"/>
      <c r="Q33" s="12" t="n"/>
      <c r="R33" s="12" t="n"/>
      <c r="S33" s="12" t="n"/>
      <c r="T33" s="12" t="n"/>
      <c r="U33" s="12" t="n"/>
      <c r="V33" s="12" t="n"/>
      <c r="W33" s="12" t="n"/>
      <c r="X33" s="12" t="n"/>
    </row>
    <row r="34">
      <c r="A34" s="12" t="n"/>
      <c r="B34" s="12" t="n"/>
      <c r="C34" s="12" t="n"/>
      <c r="D34" s="12" t="n"/>
      <c r="E34" s="12" t="n"/>
      <c r="F34" s="12" t="n"/>
      <c r="G34" s="12" t="n"/>
      <c r="H34" s="12" t="n"/>
      <c r="I34" s="12" t="n"/>
      <c r="J34" s="10" t="n"/>
      <c r="K34" s="12" t="n"/>
      <c r="L34" s="12" t="n"/>
      <c r="M34" s="12" t="n"/>
      <c r="N34" s="12" t="n"/>
      <c r="O34" s="12" t="n"/>
      <c r="P34" s="12" t="n"/>
      <c r="Q34" s="12" t="n"/>
      <c r="R34" s="12" t="n"/>
      <c r="S34" s="12" t="n"/>
      <c r="T34" s="12" t="n"/>
      <c r="U34" s="12" t="n"/>
      <c r="V34" s="12" t="n"/>
      <c r="W34" s="12" t="n"/>
      <c r="X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2.63" defaultRowHeight="15.75" customHeight="1"/>
  <cols>
    <col width="34.38" customWidth="1" style="22" min="1" max="1"/>
    <col width="25.75" customWidth="1" style="22" min="2" max="2"/>
  </cols>
  <sheetData>
    <row r="1">
      <c r="A1" s="12" t="inlineStr">
        <is>
          <t>Record</t>
        </is>
      </c>
      <c r="B1" s="12" t="inlineStr">
        <is>
          <t>Name</t>
        </is>
      </c>
      <c r="C1" s="12" t="inlineStr">
        <is>
          <t>Stat</t>
        </is>
      </c>
    </row>
    <row r="2">
      <c r="A2" s="21" t="inlineStr">
        <is>
          <t>Most Passing Yards</t>
        </is>
      </c>
      <c r="B2" s="21">
        <f>IFERROR(__xludf.DUMMYFUNCTION("INDEX(QUERY('Player Stats'!$A:$G,""select A, sum(G) where A&lt;&gt;'' group by A order by sum(G) desc limit 1"",1),2,1)"),"Dalton Sneed")</f>
        <v/>
      </c>
      <c r="C2" s="21">
        <f>IFERROR(__xludf.DUMMYFUNCTION("INDEX(QUERY('Player Stats'!$A:$G,""select A, sum(G) where A&lt;&gt;'' group by A order by sum(G) desc limit 1"",1),2,2)"),1941.0)</f>
        <v/>
      </c>
    </row>
    <row r="3">
      <c r="A3" s="21" t="inlineStr">
        <is>
          <t>Most Passing TDs</t>
        </is>
      </c>
      <c r="B3" s="21">
        <f>IFERROR(__xludf.DUMMYFUNCTION("INDEX(QUERY('Player Stats'!$A:$H,""select A, sum(H) where A&lt;&gt;'' group by A order by sum(H) desc limit 1"",1),2,1)"),"Dalton Sneed")</f>
        <v/>
      </c>
      <c r="C3" s="21">
        <f>IFERROR(__xludf.DUMMYFUNCTION("INDEX(QUERY('Player Stats'!$A:$H,""select A, sum(H) where A&lt;&gt;'' group by A order by sum(H) desc limit 1"",1),2,2)"),42.0)</f>
        <v/>
      </c>
    </row>
    <row r="4">
      <c r="A4" s="21" t="inlineStr">
        <is>
          <t>Most Rushing Yards</t>
        </is>
      </c>
      <c r="B4" s="21">
        <f>IFERROR(__xludf.DUMMYFUNCTION("INDEX(QUERY('Player Stats'!$A:$K,""select A, sum(K) where A&lt;&gt;'' group by A order by sum(K) desc limit 1"",1),2,1)"),"Justin Rankin")</f>
        <v/>
      </c>
      <c r="C4" s="21">
        <f>IFERROR(__xludf.DUMMYFUNCTION("INDEX(QUERY('Player Stats'!$A:$K,""select A, sum(K) where A&lt;&gt;'' group by A order by sum(K) desc limit 1"",1),2,2)"),738.0)</f>
        <v/>
      </c>
    </row>
    <row r="5">
      <c r="A5" s="21" t="inlineStr">
        <is>
          <t>Most Rushing TDs</t>
        </is>
      </c>
      <c r="B5" s="21">
        <f>IFERROR(__xludf.DUMMYFUNCTION("INDEX(QUERY('Player Stats'!$A:$L,""select A, sum(L) where A&lt;&gt;'' group by A order by sum(L) desc limit 1"",1),2,1)"),"Justin Rankin")</f>
        <v/>
      </c>
      <c r="C5" s="21">
        <f>IFERROR(__xludf.DUMMYFUNCTION("INDEX(QUERY('Player Stats'!$A:$L,""select A, sum(L) where A&lt;&gt;'' group by A order by sum(L) desc limit 1"",1),2,2)"),36.0)</f>
        <v/>
      </c>
    </row>
    <row r="6">
      <c r="A6" s="21" t="inlineStr">
        <is>
          <t>Most Receiving Yards</t>
        </is>
      </c>
      <c r="B6" s="21">
        <f>IFERROR(__xludf.DUMMYFUNCTION("INDEX(QUERY('Player Stats'!$A:$N,""select A, sum(N) where A&lt;&gt;'' group by A order by sum(N) desc limit 1"",1),2,1)"),"JT Stokes")</f>
        <v/>
      </c>
      <c r="C6" s="21">
        <f>IFERROR(__xludf.DUMMYFUNCTION("INDEX(QUERY('Player Stats'!$A:$N,""select A, sum(N) where A&lt;&gt;'' group by A order by sum(N) desc limit 1"",1),2,2)"),1493.0)</f>
        <v/>
      </c>
    </row>
    <row r="7">
      <c r="A7" s="21" t="inlineStr">
        <is>
          <t>Most Receiving TDs</t>
        </is>
      </c>
      <c r="B7" s="21">
        <f>IFERROR(__xludf.DUMMYFUNCTION("INDEX(QUERY('Player Stats'!$A:$O,""select A, sum(O) where A&lt;&gt;'' group by A order by sum(O) desc limit 1"",1),2,1)"),"JT Stokes")</f>
        <v/>
      </c>
      <c r="C7" s="21">
        <f>IFERROR(__xludf.DUMMYFUNCTION("INDEX(QUERY('Player Stats'!$A:$O,""select A, sum(O) where A&lt;&gt;'' group by A order by sum(O) desc limit 1"",1),2,2)"),38.0)</f>
        <v/>
      </c>
    </row>
    <row r="8">
      <c r="A8" s="21" t="inlineStr">
        <is>
          <t>Most Receptions</t>
        </is>
      </c>
      <c r="B8" s="21">
        <f>IFERROR(__xludf.DUMMYFUNCTION("INDEX(QUERY('Player Stats'!$A:$M,""select A, sum(M) where A&lt;&gt;'' group by A order by sum(M) desc limit 1"",1),2,1)"),"JT Stokes")</f>
        <v/>
      </c>
      <c r="C8" s="21">
        <f>IFERROR(__xludf.DUMMYFUNCTION("INDEX(QUERY('Player Stats'!$A:$M,""select A, sum(M) where A&lt;&gt;'' group by A order by sum(M) desc limit 1"",1),2,2)"),125.0)</f>
        <v/>
      </c>
    </row>
    <row r="9">
      <c r="A9" s="21" t="inlineStr">
        <is>
          <t>Most All-Purpose Yards</t>
        </is>
      </c>
      <c r="B9" s="21">
        <f>IFERROR(__xludf.DUMMYFUNCTION("INDEX(QUERY('Player Stats'!$A:$Q,""select A, sum(K)+sum(N)+sum(Q) where A&lt;&gt;'' group by A order by sum(K)+sum(N)+sum(Q) desc limit 1"",1),2,1)"),"Joshua Tomas")</f>
        <v/>
      </c>
      <c r="C9" s="21">
        <f>IFERROR(__xludf.DUMMYFUNCTION("INDEX(QUERY('Player Stats'!$A:$Q,""select A, sum(K)+sum(N)+sum(Q) where A&lt;&gt;'' group by A order by sum(K)+sum(N)+sum(Q) desc limit 1"",1),2,2)"),2370.0)</f>
        <v/>
      </c>
    </row>
    <row r="10">
      <c r="A10" s="21" t="inlineStr">
        <is>
          <t>Most Total TDs</t>
        </is>
      </c>
      <c r="B10" s="21">
        <f>IFERROR(__xludf.DUMMYFUNCTION("INDEX(QUERY('Player Stats'!$A:$R,""select A, sum(H)+sum(L)+sum(O)+sum(R) where A&lt;&gt;'' group by A order by sum(H)+sum(L)+sum(O)+sum(R) desc limit 1"",1),2,1)"),"Josh Jones")</f>
        <v/>
      </c>
      <c r="C10" s="21">
        <f>IFERROR(__xludf.DUMMYFUNCTION("INDEX(QUERY('Player Stats'!$A:$R,""select A, sum(H)+sum(L)+sum(O)+sum(R) where A&lt;&gt;'' group by A order by sum(H)+sum(L)+sum(O)+sum(R) desc limit 1"",1),2,2)"),50.0)</f>
        <v/>
      </c>
    </row>
    <row r="11">
      <c r="A11" s="21" t="inlineStr">
        <is>
          <t>Most Points Scored</t>
        </is>
      </c>
      <c r="B11" s="21">
        <f>IFERROR(__xludf.DUMMYFUNCTION("INDEX(QUERY('Player Stats'!$A:$X,""select A, sum(X) where A&lt;&gt;'' group by A order by sum(X) desc limit 1"",1),2,1)"),"JT Stokes")</f>
        <v/>
      </c>
      <c r="C11" s="21">
        <f>SUMIF('Player Stats'!$A:$A,B11,'Player Stats'!$X:$X)</f>
        <v/>
      </c>
    </row>
    <row r="12">
      <c r="A12" s="21" t="inlineStr">
        <is>
          <t>Most Field Goals Made</t>
        </is>
      </c>
      <c r="B12" s="21">
        <f>IFERROR(__xludf.DUMMYFUNCTION("INDEX(QUERY('Player Stats'!$A:$S,""select A, sum(S) where A&lt;&gt;'' group by A order by sum(S) desc limit 1"",1),2,1)"),"Axel Perez")</f>
        <v/>
      </c>
      <c r="C12" s="21">
        <f>IFERROR(__xludf.DUMMYFUNCTION("INDEX(QUERY('Player Stats'!$A:$S,""select A, sum(S) where A&lt;&gt;'' group by A order by sum(S) desc limit 1"",1),2,2)"),8.0)</f>
        <v/>
      </c>
    </row>
    <row r="13">
      <c r="A13" s="21" t="inlineStr">
        <is>
          <t>Most PATs Made</t>
        </is>
      </c>
      <c r="B13" s="21">
        <f>IFERROR(__xludf.DUMMYFUNCTION("INDEX(QUERY('Player Stats'!$A:$U,""select A, sum(U) where A&lt;&gt;'' group by A order by sum(U) desc limit 1"",1),2,1)"),"Axel Perez")</f>
        <v/>
      </c>
      <c r="C13" s="21">
        <f>IFERROR(__xludf.DUMMYFUNCTION("INDEX(QUERY('Player Stats'!$A:$U,""select A, sum(U) where A&lt;&gt;'' group by A order by sum(U) desc limit 1"",1),2,2)"),64.0)</f>
        <v/>
      </c>
    </row>
    <row r="14">
      <c r="A14" s="21" t="inlineStr">
        <is>
          <t>Most Kickoff Return Yards</t>
        </is>
      </c>
      <c r="B14" s="21">
        <f>IFERROR(__xludf.DUMMYFUNCTION("INDEX(QUERY('Player Stats'!$A:$Q,""select A, sum(Q) where A&lt;&gt;'' group by A order by sum(Q) desc limit 1"",1),2,1)"),"Joshua Tomas")</f>
        <v/>
      </c>
      <c r="C14" s="21">
        <f>IFERROR(__xludf.DUMMYFUNCTION("INDEX(QUERY('Player Stats'!$A:$Q,""select A, sum(Q) where A&lt;&gt;'' group by A order by sum(Q) desc limit 1"",1),2,2)"),1050.0)</f>
        <v/>
      </c>
    </row>
    <row r="15">
      <c r="A15" s="21" t="inlineStr">
        <is>
          <t>Most Kickoff Return TDs</t>
        </is>
      </c>
      <c r="B15" s="21">
        <f>IFERROR(__xludf.DUMMYFUNCTION("INDEX(QUERY('Player Stats'!$A:$R,""select A, sum(R) where A&lt;&gt;'' group by A order by sum(R) desc limit 1"",1),2,1)"),"Imeek Watkins")</f>
        <v/>
      </c>
      <c r="C15" s="21">
        <f>IFERROR(__xludf.DUMMYFUNCTION("INDEX(QUERY('Player Stats'!$A:$R,""select A, sum(R) where A&lt;&gt;'' group by A order by sum(R) desc limit 1"",1),2,2)"),2.0)</f>
        <v/>
      </c>
    </row>
    <row r="16">
      <c r="A16" s="21" t="inlineStr">
        <is>
          <t>Most Tackles</t>
        </is>
      </c>
      <c r="B16" s="21">
        <f>IFERROR(__xludf.DUMMYFUNCTION("INDEX(QUERY('Player Stats'!$A:$AA,""select A, sum(Z) where A&lt;&gt;'' group by A order by sum(Z) desc limit 1"",1),2,1)"),"Tevaughn Grant")</f>
        <v/>
      </c>
      <c r="C16" s="21">
        <f>IFERROR(__xludf.DUMMYFUNCTION("INDEX(QUERY('Player Stats'!$A:$AA,""select A, sum(Z) where A&lt;&gt;'' group by A order by sum(Z) desc limit 1"",1),2,2)"),74.0)</f>
        <v/>
      </c>
    </row>
    <row r="17">
      <c r="A17" s="21" t="inlineStr">
        <is>
          <t>Most Sacks</t>
        </is>
      </c>
      <c r="B17" s="21">
        <f>IFERROR(__xludf.DUMMYFUNCTION("INDEX(QUERY('Player Stats'!$A:$AB,""select A, sum(AA) where A&lt;&gt;'' group by A order by sum(AA) desc limit 1"",1),2,1)"),"Antwon Kincade")</f>
        <v/>
      </c>
      <c r="C17" s="21">
        <f>IFERROR(__xludf.DUMMYFUNCTION("INDEX(QUERY('Player Stats'!$A:$AB,""select A, sum(AA) where A&lt;&gt;'' group by A order by sum(AA) desc limit 1"",1),2,2)"),162.0)</f>
        <v/>
      </c>
    </row>
    <row r="18">
      <c r="A18" s="21" t="inlineStr">
        <is>
          <t>Most Tackles For Loss</t>
        </is>
      </c>
      <c r="B18" s="21">
        <f>IFERROR(__xludf.DUMMYFUNCTION("INDEX(QUERY('Player Stats'!$A:$AC,""select A, sum(AB) where A&lt;&gt;'' group by A order by sum(AB) desc limit 1"",1),2,1)"),"Tevaughn Grant")</f>
        <v/>
      </c>
      <c r="C18" s="21">
        <f>IFERROR(__xludf.DUMMYFUNCTION("INDEX(QUERY('Player Stats'!$A:$AC,""select A, sum(AB) where A&lt;&gt;'' group by A order by sum(AB) desc limit 1"",1),2,2)"),12.5)</f>
        <v/>
      </c>
    </row>
    <row r="19">
      <c r="A19" s="21" t="inlineStr">
        <is>
          <t>Most Interceptions</t>
        </is>
      </c>
      <c r="B19" s="21">
        <f>IFERROR(__xludf.DUMMYFUNCTION("INDEX(QUERY('Player Stats'!$A:$AF,""select A, sum(AE) where A&lt;&gt;'' group by A order by sum(AE) desc limit 1"",1),2,1)"),"Franky West")</f>
        <v/>
      </c>
      <c r="C19" s="21">
        <f>IFERROR(__xludf.DUMMYFUNCTION("INDEX(QUERY('Player Stats'!$A:$AF,""select A, sum(AE) where A&lt;&gt;'' group by A order by sum(AE) desc limit 1"",1),2,2)"),3.0)</f>
        <v/>
      </c>
    </row>
    <row r="20">
      <c r="A20" s="21" t="inlineStr">
        <is>
          <t>Most Forced Fumbles</t>
        </is>
      </c>
      <c r="B20" s="21">
        <f>IFERROR(__xludf.DUMMYFUNCTION("INDEX(QUERY('Player Stats'!$A:$AD,""select A, sum(AC) where A&lt;&gt;'' group by A order by sum(AC) desc limit 1"",1),2,1)"),"Tevaughn Grant")</f>
        <v/>
      </c>
      <c r="C20" s="21">
        <f>IFERROR(__xludf.DUMMYFUNCTION("INDEX(QUERY('Player Stats'!$A:$AD,""select A, sum(AC) where A&lt;&gt;'' group by A order by sum(AC) desc limit 1"",1),2,2)"),26.0)</f>
        <v/>
      </c>
    </row>
    <row r="21">
      <c r="A21" s="21" t="inlineStr">
        <is>
          <t>Most Fumble Recoveries</t>
        </is>
      </c>
      <c r="B21" s="21">
        <f>IFERROR(__xludf.DUMMYFUNCTION("INDEX(QUERY('Player Stats'!$A:$AE,""select A, sum(AD) where A&lt;&gt;'' group by A order by sum(AD) desc limit 1"",1),2,1)"),"Tevaughn Grant")</f>
        <v/>
      </c>
      <c r="C21" s="21">
        <f>IFERROR(__xludf.DUMMYFUNCTION("INDEX(QUERY('Player Stats'!$A:$AE,""select A, sum(AD) where A&lt;&gt;'' group by A order by sum(AD) desc limit 1"",1),2,2)"),3.0)</f>
        <v/>
      </c>
    </row>
    <row r="22">
      <c r="A22" s="21" t="inlineStr">
        <is>
          <t>Most Passes Defended/Broken Up</t>
        </is>
      </c>
      <c r="B22" s="21">
        <f>IFERROR(__xludf.DUMMYFUNCTION("INDEX(QUERY('Player Stats'!$A:$AG,""select A, sum(AF) where A&lt;&gt;'' group by A order by sum(AF) desc limit 1"",1),2,1)"),"Joe Foucha")</f>
        <v/>
      </c>
      <c r="C22" s="21">
        <f>IFERROR(__xludf.DUMMYFUNCTION("INDEX(QUERY('Player Stats'!$A:$AG,""select A, sum(AF) where A&lt;&gt;'' group by A order by sum(AF) desc limit 1"",1),2,2)"),10.0)</f>
        <v/>
      </c>
    </row>
    <row r="23">
      <c r="A23" s="21" t="inlineStr">
        <is>
          <t>Most Blocked Kicks</t>
        </is>
      </c>
      <c r="B23" s="21">
        <f>IFERROR(__xludf.DUMMYFUNCTION("INDEX(QUERY('Player Stats'!$A:$AH,""select A, sum(AG) where A&lt;&gt;'' group by A order by sum(AG) desc limit 1"",1),2,1)"),"Tyler Watson")</f>
        <v/>
      </c>
      <c r="C23" s="21">
        <f>IFERROR(__xludf.DUMMYFUNCTION("INDEX(QUERY('Player Stats'!$A:$AH,""select A, sum(AG) where A&lt;&gt;'' group by A order by sum(AG) desc limit 1"",1),2,2)"),28.0)</f>
        <v/>
      </c>
    </row>
    <row r="24">
      <c r="A24" s="21" t="inlineStr">
        <is>
          <t>Most Games Played</t>
        </is>
      </c>
      <c r="B24" s="21">
        <f>IFERROR(__xludf.DUMMYFUNCTION("INDEX(QUERY('Player Stats'!$A:$D,""select A, sum(D) where A&lt;&gt;'' group by A order by sum(D) desc limit 1"",1),2,1)"),"Tevaughn Grant")</f>
        <v/>
      </c>
      <c r="C24" s="21">
        <f>IFERROR(__xludf.DUMMYFUNCTION("INDEX(QUERY('Player Stats'!$A:$D,""select A, sum(D) where A&lt;&gt;'' group by A order by sum(D) desc limit 1"",1),2,2)"),33.0)</f>
        <v/>
      </c>
    </row>
    <row r="25">
      <c r="A25" s="12" t="n"/>
      <c r="B25" s="12" t="n"/>
      <c r="C25" s="12" t="n"/>
    </row>
    <row r="26">
      <c r="A26" s="12" t="n"/>
      <c r="B26" s="12" t="n"/>
      <c r="C26" s="12" t="n"/>
    </row>
    <row r="27">
      <c r="A27" s="12" t="n"/>
      <c r="B27" s="12" t="n"/>
      <c r="C27" s="12" t="n"/>
    </row>
    <row r="28">
      <c r="A28" s="12" t="n"/>
      <c r="B28" s="12" t="n"/>
      <c r="C28" s="12" t="n"/>
    </row>
    <row r="29">
      <c r="A29" s="12" t="n"/>
      <c r="B29" s="12" t="n"/>
      <c r="C29" s="12" t="n"/>
    </row>
    <row r="30">
      <c r="A30" s="12" t="n"/>
      <c r="B30" s="12" t="n"/>
      <c r="C30" s="12" t="n"/>
    </row>
    <row r="31">
      <c r="A31" s="12" t="n"/>
      <c r="B31" s="12" t="n"/>
      <c r="C31" s="12" t="n"/>
    </row>
    <row r="32">
      <c r="A32" s="12" t="n"/>
      <c r="B32" s="12" t="n"/>
      <c r="C32" s="12" t="n"/>
    </row>
    <row r="33">
      <c r="A33" s="12" t="n"/>
      <c r="B33" s="12" t="n"/>
      <c r="C33" s="12" t="n"/>
    </row>
    <row r="34">
      <c r="A34" s="12" t="n"/>
      <c r="B34" s="12" t="n"/>
      <c r="C34" s="12" t="n"/>
    </row>
    <row r="35">
      <c r="A35" s="12" t="n"/>
      <c r="B35" s="12" t="n"/>
      <c r="C35" s="12" t="n"/>
    </row>
    <row r="36">
      <c r="A36" s="12" t="n"/>
      <c r="B36" s="12" t="n"/>
      <c r="C36" s="12" t="n"/>
    </row>
    <row r="37">
      <c r="A37" s="12" t="n"/>
      <c r="B37" s="12" t="n"/>
      <c r="C37" s="12" t="n"/>
    </row>
    <row r="38">
      <c r="A38" s="12" t="n"/>
      <c r="B38" s="12" t="n"/>
      <c r="C38" s="12" t="n"/>
    </row>
    <row r="39">
      <c r="A39" s="12" t="n"/>
      <c r="B39" s="12" t="n"/>
      <c r="C39" s="12" t="n"/>
    </row>
    <row r="40">
      <c r="A40" s="12" t="n"/>
      <c r="B40" s="12" t="n"/>
      <c r="C40" s="12" t="n"/>
    </row>
    <row r="41">
      <c r="A41" s="12" t="n"/>
      <c r="B41" s="12" t="n"/>
      <c r="C41" s="12" t="n"/>
    </row>
    <row r="42">
      <c r="A42" s="12" t="n"/>
      <c r="B42" s="12" t="n"/>
      <c r="C42" s="12" t="n"/>
    </row>
    <row r="43">
      <c r="A43" s="12" t="n"/>
      <c r="B43" s="12" t="n"/>
      <c r="C43" s="12" t="n"/>
    </row>
    <row r="44">
      <c r="A44" s="12" t="n"/>
      <c r="B44" s="12" t="n"/>
      <c r="C44" s="12" t="n"/>
    </row>
    <row r="45">
      <c r="A45" s="12" t="n"/>
      <c r="B45" s="12" t="n"/>
      <c r="C45" s="12" t="n"/>
    </row>
    <row r="46">
      <c r="A46" s="12" t="n"/>
      <c r="B46" s="12" t="n"/>
      <c r="C46" s="12" t="n"/>
    </row>
    <row r="47">
      <c r="A47" s="12" t="n"/>
      <c r="B47" s="12" t="n"/>
      <c r="C47" s="12" t="n"/>
    </row>
    <row r="48">
      <c r="A48" s="12" t="n"/>
      <c r="B48" s="12" t="n"/>
      <c r="C48" s="12" t="n"/>
    </row>
    <row r="49">
      <c r="A49" s="12" t="n"/>
      <c r="B49" s="12" t="n"/>
      <c r="C49" s="12" t="n"/>
    </row>
    <row r="50">
      <c r="A50" s="12" t="n"/>
      <c r="B50" s="12" t="n"/>
      <c r="C50" s="12" t="n"/>
    </row>
    <row r="51">
      <c r="A51" s="12" t="n"/>
      <c r="B51" s="12" t="n"/>
      <c r="C51" s="12" t="n"/>
    </row>
    <row r="52">
      <c r="A52" s="12" t="n"/>
      <c r="B52" s="12" t="n"/>
      <c r="C52" s="12" t="n"/>
    </row>
    <row r="53">
      <c r="A53" s="12" t="n"/>
      <c r="B53" s="12" t="n"/>
      <c r="C53" s="12" t="n"/>
    </row>
    <row r="54">
      <c r="A54" s="12" t="n"/>
      <c r="B54" s="12" t="n"/>
      <c r="C54" s="12" t="n"/>
    </row>
    <row r="55">
      <c r="A55" s="12" t="n"/>
      <c r="B55" s="12" t="n"/>
      <c r="C55" s="12" t="n"/>
    </row>
    <row r="56">
      <c r="A56" s="12" t="n"/>
      <c r="B56" s="12" t="n"/>
      <c r="C56" s="12" t="n"/>
    </row>
    <row r="57">
      <c r="A57" s="12" t="n"/>
      <c r="B57" s="12" t="n"/>
      <c r="C57" s="12" t="n"/>
    </row>
    <row r="58">
      <c r="A58" s="12" t="n"/>
      <c r="B58" s="12" t="n"/>
      <c r="C58" s="12" t="n"/>
    </row>
    <row r="59">
      <c r="A59" s="12" t="n"/>
      <c r="B59" s="12" t="n"/>
      <c r="C59"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2026-08-19T22:06:21Z</dcterms:created>
  <dcterms:modified xsi:type="dcterms:W3CDTF">2026-08-19T22:06:21Z</dcterms:modified>
</cp:coreProperties>
</file>